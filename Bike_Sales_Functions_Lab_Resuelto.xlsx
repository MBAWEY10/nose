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Resueltos" sheetId="1" state="visible" r:id="rId1"/>
    <sheet xmlns:r="http://schemas.openxmlformats.org/officeDocument/2006/relationships" name="Resumen_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Consolas"/>
      <color rgb="001B365D"/>
      <sz val="9.5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0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pivotButton="0" quotePrefix="0" xfId="0"/>
    <xf numFmtId="164" fontId="0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3" customWidth="1" min="4" max="4"/>
    <col width="17" customWidth="1" min="5" max="5"/>
    <col width="18" customWidth="1" min="6" max="6"/>
    <col width="29" customWidth="1" min="7" max="7"/>
    <col width="18" customWidth="1" min="8" max="8"/>
    <col width="20" customWidth="1" min="9" max="9"/>
    <col width="18" customWidth="1" min="10" max="10"/>
    <col width="18" customWidth="1" min="11" max="11"/>
    <col width="12" customWidth="1" min="12" max="12"/>
    <col width="49" customWidth="1" min="13" max="13"/>
  </cols>
  <sheetData>
    <row r="1">
      <c r="A1" s="1" t="inlineStr">
        <is>
          <t>Práctica de Laboratorio - Fórmulas y Funciones en Excel (Resuelto)</t>
        </is>
      </c>
    </row>
    <row r="2">
      <c r="A2" s="2" t="inlineStr">
        <is>
          <t>Bike Sales_Functions_Lab - Módulo Completo (Filas 2 a 89)</t>
        </is>
      </c>
    </row>
    <row r="3"/>
    <row r="4">
      <c r="A4" s="3" t="inlineStr">
        <is>
          <t>Sales_Order #</t>
        </is>
      </c>
      <c r="B4" s="3" t="inlineStr">
        <is>
          <t>Date</t>
        </is>
      </c>
      <c r="C4" s="3" t="inlineStr">
        <is>
          <t>Customer_Age</t>
        </is>
      </c>
      <c r="D4" s="3" t="inlineStr">
        <is>
          <t>Age_Group</t>
        </is>
      </c>
      <c r="E4" s="3" t="inlineStr">
        <is>
          <t>Country</t>
        </is>
      </c>
      <c r="F4" s="3" t="inlineStr">
        <is>
          <t>Sub_Category</t>
        </is>
      </c>
      <c r="G4" s="3" t="inlineStr">
        <is>
          <t>Product_Description</t>
        </is>
      </c>
      <c r="H4" s="3" t="inlineStr">
        <is>
          <t>Model (LEFT)</t>
        </is>
      </c>
      <c r="I4" s="3" t="inlineStr">
        <is>
          <t>Color (MID)</t>
        </is>
      </c>
      <c r="J4" s="3" t="inlineStr">
        <is>
          <t>Size (RIGHT)</t>
        </is>
      </c>
      <c r="K4" s="3" t="inlineStr">
        <is>
          <t>Order_Quantity</t>
        </is>
      </c>
      <c r="L4" s="3" t="inlineStr">
        <is>
          <t>Revenue</t>
        </is>
      </c>
      <c r="M4" s="3" t="inlineStr">
        <is>
          <t>Sales_Summary (CONCAT)</t>
        </is>
      </c>
    </row>
    <row r="5">
      <c r="A5" s="4" t="inlineStr">
        <is>
          <t>000261695</t>
        </is>
      </c>
      <c r="B5" s="4" t="inlineStr">
        <is>
          <t>01/12/2021</t>
        </is>
      </c>
      <c r="C5" s="4" t="n">
        <v>23</v>
      </c>
      <c r="D5" s="5" t="inlineStr">
        <is>
          <t>Youth (&lt;25)</t>
        </is>
      </c>
      <c r="E5" s="5" t="inlineStr">
        <is>
          <t>Australia</t>
        </is>
      </c>
      <c r="F5" s="5" t="inlineStr">
        <is>
          <t>Mountain Bikes</t>
        </is>
      </c>
      <c r="G5" s="5" t="inlineStr">
        <is>
          <t>Mountain-200 Black, 46</t>
        </is>
      </c>
      <c r="H5" s="6">
        <f>LEFT(G5, 12)</f>
        <v/>
      </c>
      <c r="I5" s="6">
        <f>MID(G5, 14, 5)</f>
        <v/>
      </c>
      <c r="J5" s="6">
        <f>RIGHT(G5, 2)</f>
        <v/>
      </c>
      <c r="K5" s="4" t="n">
        <v>4</v>
      </c>
      <c r="L5" s="7" t="n">
        <v>3533</v>
      </c>
      <c r="M5" s="6">
        <f>CONCAT(A5, ": ", K5, " ", F5, " - ", B5)</f>
        <v/>
      </c>
    </row>
    <row r="6">
      <c r="A6" s="8" t="inlineStr">
        <is>
          <t>000261696</t>
        </is>
      </c>
      <c r="B6" s="8" t="inlineStr">
        <is>
          <t>01/12/2021</t>
        </is>
      </c>
      <c r="C6" s="8" t="n">
        <v>30</v>
      </c>
      <c r="D6" s="9" t="inlineStr">
        <is>
          <t>Young Adult (25-34)</t>
        </is>
      </c>
      <c r="E6" s="9" t="inlineStr">
        <is>
          <t>Australia</t>
        </is>
      </c>
      <c r="F6" s="9" t="inlineStr">
        <is>
          <t>Mountain Bikes</t>
        </is>
      </c>
      <c r="G6" s="9" t="inlineStr">
        <is>
          <t>Mountain-200 Silver, 38</t>
        </is>
      </c>
      <c r="H6" s="10">
        <f>LEFT(G6, 12)</f>
        <v/>
      </c>
      <c r="I6" s="10">
        <f>MID(G6, 14, 6)</f>
        <v/>
      </c>
      <c r="J6" s="10">
        <f>RIGHT(G6, 2)</f>
        <v/>
      </c>
      <c r="K6" s="8" t="n">
        <v>1</v>
      </c>
      <c r="L6" s="11" t="n">
        <v>1245</v>
      </c>
      <c r="M6" s="10">
        <f>CONCAT(A6, ": ", K6, " ", F6, " - ", B6)</f>
        <v/>
      </c>
    </row>
    <row r="7">
      <c r="A7" s="4" t="inlineStr">
        <is>
          <t>000261697</t>
        </is>
      </c>
      <c r="B7" s="4" t="inlineStr">
        <is>
          <t>01/12/2021</t>
        </is>
      </c>
      <c r="C7" s="4" t="n">
        <v>45</v>
      </c>
      <c r="D7" s="5" t="inlineStr">
        <is>
          <t>Adult (35-64)</t>
        </is>
      </c>
      <c r="E7" s="5" t="inlineStr">
        <is>
          <t>Australia</t>
        </is>
      </c>
      <c r="F7" s="5" t="inlineStr">
        <is>
          <t>Mountain Bikes</t>
        </is>
      </c>
      <c r="G7" s="5" t="inlineStr">
        <is>
          <t>Mountain-200 Silver, 42</t>
        </is>
      </c>
      <c r="H7" s="6">
        <f>LEFT(G7, 12)</f>
        <v/>
      </c>
      <c r="I7" s="6">
        <f>MID(G7, 14, 6)</f>
        <v/>
      </c>
      <c r="J7" s="6">
        <f>RIGHT(G7, 2)</f>
        <v/>
      </c>
      <c r="K7" s="4" t="n">
        <v>2</v>
      </c>
      <c r="L7" s="7" t="n">
        <v>2460</v>
      </c>
      <c r="M7" s="6">
        <f>CONCAT(A7, ": ", K7, " ", F7, " - ", B7)</f>
        <v/>
      </c>
    </row>
    <row r="8">
      <c r="A8" s="8" t="inlineStr">
        <is>
          <t>000261698</t>
        </is>
      </c>
      <c r="B8" s="8" t="inlineStr">
        <is>
          <t>01/12/2021</t>
        </is>
      </c>
      <c r="C8" s="8" t="n">
        <v>28</v>
      </c>
      <c r="D8" s="9" t="inlineStr">
        <is>
          <t>Young Adult (25-34)</t>
        </is>
      </c>
      <c r="E8" s="9" t="inlineStr">
        <is>
          <t>United States</t>
        </is>
      </c>
      <c r="F8" s="9" t="inlineStr">
        <is>
          <t>Mountain Bikes</t>
        </is>
      </c>
      <c r="G8" s="9" t="inlineStr">
        <is>
          <t>Mountain-200-W Silver, 38</t>
        </is>
      </c>
      <c r="H8" s="10">
        <f>LEFT(G8, 14)</f>
        <v/>
      </c>
      <c r="I8" s="10">
        <f>MID(G8, 16, 6)</f>
        <v/>
      </c>
      <c r="J8" s="10">
        <f>RIGHT(G8, 2)</f>
        <v/>
      </c>
      <c r="K8" s="8" t="n">
        <v>3</v>
      </c>
      <c r="L8" s="11" t="n">
        <v>3675</v>
      </c>
      <c r="M8" s="10">
        <f>CONCAT(A8, ": ", K8, " ", F8, " - ", B8)</f>
        <v/>
      </c>
    </row>
    <row r="9">
      <c r="A9" s="4" t="inlineStr">
        <is>
          <t>000261699</t>
        </is>
      </c>
      <c r="B9" s="4" t="inlineStr">
        <is>
          <t>01/12/2021</t>
        </is>
      </c>
      <c r="C9" s="4" t="n">
        <v>50</v>
      </c>
      <c r="D9" s="5" t="inlineStr">
        <is>
          <t>Adult (35-64)</t>
        </is>
      </c>
      <c r="E9" s="5" t="inlineStr">
        <is>
          <t>United States</t>
        </is>
      </c>
      <c r="F9" s="5" t="inlineStr">
        <is>
          <t>Mountain Bikes</t>
        </is>
      </c>
      <c r="G9" s="5" t="inlineStr">
        <is>
          <t>Mountain-200-W Silver, 40</t>
        </is>
      </c>
      <c r="H9" s="6">
        <f>LEFT(G9, 14)</f>
        <v/>
      </c>
      <c r="I9" s="6">
        <f>MID(G9, 16, 6)</f>
        <v/>
      </c>
      <c r="J9" s="6">
        <f>RIGHT(G9, 2)</f>
        <v/>
      </c>
      <c r="K9" s="4" t="n">
        <v>1</v>
      </c>
      <c r="L9" s="7" t="n">
        <v>1290</v>
      </c>
      <c r="M9" s="6">
        <f>CONCAT(A9, ": ", K9, " ", F9, " - ", B9)</f>
        <v/>
      </c>
    </row>
    <row r="10">
      <c r="A10" s="8" t="inlineStr">
        <is>
          <t>000261700</t>
        </is>
      </c>
      <c r="B10" s="8" t="inlineStr">
        <is>
          <t>01/12/2021</t>
        </is>
      </c>
      <c r="C10" s="8" t="n">
        <v>22</v>
      </c>
      <c r="D10" s="9" t="inlineStr">
        <is>
          <t>Youth (&lt;25)</t>
        </is>
      </c>
      <c r="E10" s="9" t="inlineStr">
        <is>
          <t>Canada</t>
        </is>
      </c>
      <c r="F10" s="9" t="inlineStr">
        <is>
          <t>Road Bikes</t>
        </is>
      </c>
      <c r="G10" s="9" t="inlineStr">
        <is>
          <t>Road-150 Red, 44</t>
        </is>
      </c>
      <c r="H10" s="10">
        <f>LEFT(G10, 12)</f>
        <v/>
      </c>
      <c r="I10" s="10">
        <f>MID(G10, 14, 5)</f>
        <v/>
      </c>
      <c r="J10" s="10">
        <f>RIGHT(G10, 2)</f>
        <v/>
      </c>
      <c r="K10" s="8" t="n">
        <v>2</v>
      </c>
      <c r="L10" s="11" t="n">
        <v>5105</v>
      </c>
      <c r="M10" s="10">
        <f>CONCAT(A10, ": ", K10, " ", F10, " - ", B10)</f>
        <v/>
      </c>
    </row>
    <row r="11">
      <c r="A11" s="4" t="inlineStr">
        <is>
          <t>000261701</t>
        </is>
      </c>
      <c r="B11" s="4" t="inlineStr">
        <is>
          <t>01/12/2021</t>
        </is>
      </c>
      <c r="C11" s="4" t="n">
        <v>33</v>
      </c>
      <c r="D11" s="5" t="inlineStr">
        <is>
          <t>Young Adult (25-34)</t>
        </is>
      </c>
      <c r="E11" s="5" t="inlineStr">
        <is>
          <t>Canada</t>
        </is>
      </c>
      <c r="F11" s="5" t="inlineStr">
        <is>
          <t>Road Bikes</t>
        </is>
      </c>
      <c r="G11" s="5" t="inlineStr">
        <is>
          <t>Road-150 Red, 48</t>
        </is>
      </c>
      <c r="H11" s="6">
        <f>LEFT(G11, 12)</f>
        <v/>
      </c>
      <c r="I11" s="6">
        <f>MID(G11, 14, 5)</f>
        <v/>
      </c>
      <c r="J11" s="6">
        <f>RIGHT(G11, 2)</f>
        <v/>
      </c>
      <c r="K11" s="4" t="n">
        <v>1</v>
      </c>
      <c r="L11" s="7" t="n">
        <v>2620</v>
      </c>
      <c r="M11" s="6">
        <f>CONCAT(A11, ": ", K11, " ", F11, " - ", B11)</f>
        <v/>
      </c>
    </row>
    <row r="12">
      <c r="A12" s="8" t="inlineStr">
        <is>
          <t>000261702</t>
        </is>
      </c>
      <c r="B12" s="8" t="inlineStr">
        <is>
          <t>01/12/2021</t>
        </is>
      </c>
      <c r="C12" s="8" t="n">
        <v>20</v>
      </c>
      <c r="D12" s="9" t="inlineStr">
        <is>
          <t>Youth (&lt;25)</t>
        </is>
      </c>
      <c r="E12" s="9" t="inlineStr">
        <is>
          <t>Australia</t>
        </is>
      </c>
      <c r="F12" s="9" t="inlineStr">
        <is>
          <t>Mountain Bikes</t>
        </is>
      </c>
      <c r="G12" s="9" t="inlineStr">
        <is>
          <t>Mountain-200 Black, 38</t>
        </is>
      </c>
      <c r="H12" s="10">
        <f>LEFT(G12, 12)</f>
        <v/>
      </c>
      <c r="I12" s="10">
        <f>MID(G12, 14, 5)</f>
        <v/>
      </c>
      <c r="J12" s="10">
        <f>RIGHT(G12, 2)</f>
        <v/>
      </c>
      <c r="K12" s="8" t="n">
        <v>5</v>
      </c>
      <c r="L12" s="11" t="n">
        <v>13500</v>
      </c>
      <c r="M12" s="10">
        <f>CONCAT(A12, ": ", K12, " ", F12, " - ", B12)</f>
        <v/>
      </c>
    </row>
    <row r="13">
      <c r="A13" s="4" t="inlineStr">
        <is>
          <t>000261703</t>
        </is>
      </c>
      <c r="B13" s="4" t="inlineStr">
        <is>
          <t>01/12/2021</t>
        </is>
      </c>
      <c r="C13" s="4" t="n">
        <v>38</v>
      </c>
      <c r="D13" s="5" t="inlineStr">
        <is>
          <t>Adult (35-64)</t>
        </is>
      </c>
      <c r="E13" s="5" t="inlineStr">
        <is>
          <t>Germany</t>
        </is>
      </c>
      <c r="F13" s="5" t="inlineStr">
        <is>
          <t>Touring Bikes</t>
        </is>
      </c>
      <c r="G13" s="5" t="inlineStr">
        <is>
          <t>Touring-1000 Blue, 50</t>
        </is>
      </c>
      <c r="H13" s="6">
        <f>LEFT(G13, 12)</f>
        <v/>
      </c>
      <c r="I13" s="6">
        <f>MID(G13, 14, 5)</f>
        <v/>
      </c>
      <c r="J13" s="6">
        <f>RIGHT(G13, 2)</f>
        <v/>
      </c>
      <c r="K13" s="4" t="n">
        <v>1</v>
      </c>
      <c r="L13" s="7" t="n">
        <v>1950</v>
      </c>
      <c r="M13" s="6">
        <f>CONCAT(A13, ": ", K13, " ", F13, " - ", B13)</f>
        <v/>
      </c>
    </row>
    <row r="14">
      <c r="A14" s="8" t="inlineStr">
        <is>
          <t>000261704</t>
        </is>
      </c>
      <c r="B14" s="8" t="inlineStr">
        <is>
          <t>01/12/2021</t>
        </is>
      </c>
      <c r="C14" s="8" t="n">
        <v>29</v>
      </c>
      <c r="D14" s="9" t="inlineStr">
        <is>
          <t>Young Adult (25-34)</t>
        </is>
      </c>
      <c r="E14" s="9" t="inlineStr">
        <is>
          <t>France</t>
        </is>
      </c>
      <c r="F14" s="9" t="inlineStr">
        <is>
          <t>Road Bikes</t>
        </is>
      </c>
      <c r="G14" s="9" t="inlineStr">
        <is>
          <t>Road-650 Black, 52</t>
        </is>
      </c>
      <c r="H14" s="10">
        <f>LEFT(G14, 12)</f>
        <v/>
      </c>
      <c r="I14" s="10">
        <f>MID(G14, 14, 5)</f>
        <v/>
      </c>
      <c r="J14" s="10">
        <f>RIGHT(G14, 2)</f>
        <v/>
      </c>
      <c r="K14" s="8" t="n">
        <v>2</v>
      </c>
      <c r="L14" s="11" t="n">
        <v>2965</v>
      </c>
      <c r="M14" s="10">
        <f>CONCAT(A14, ": ", K14, " ", F14, " - ", B14)</f>
        <v/>
      </c>
    </row>
    <row r="15">
      <c r="A15" s="4" t="inlineStr">
        <is>
          <t>000261705</t>
        </is>
      </c>
      <c r="B15" s="4" t="inlineStr">
        <is>
          <t>01/12/2021</t>
        </is>
      </c>
      <c r="C15" s="4" t="n">
        <v>19</v>
      </c>
      <c r="D15" s="5" t="inlineStr">
        <is>
          <t>Youth (&lt;25)</t>
        </is>
      </c>
      <c r="E15" s="5" t="inlineStr">
        <is>
          <t>Australia</t>
        </is>
      </c>
      <c r="F15" s="5" t="inlineStr">
        <is>
          <t>Mountain Bikes</t>
        </is>
      </c>
      <c r="G15" s="5" t="inlineStr">
        <is>
          <t>Mountain-200 Silver, 42</t>
        </is>
      </c>
      <c r="H15" s="6">
        <f>LEFT(G15, 12)</f>
        <v/>
      </c>
      <c r="I15" s="6">
        <f>MID(G15, 14, 6)</f>
        <v/>
      </c>
      <c r="J15" s="6">
        <f>RIGHT(G15, 2)</f>
        <v/>
      </c>
      <c r="K15" s="4" t="n">
        <v>1</v>
      </c>
      <c r="L15" s="7" t="n">
        <v>565</v>
      </c>
      <c r="M15" s="6">
        <f>CONCAT(A15, ": ", K15, " ", F15, " - ", B15)</f>
        <v/>
      </c>
    </row>
    <row r="16">
      <c r="A16" s="8" t="inlineStr">
        <is>
          <t>000261706</t>
        </is>
      </c>
      <c r="B16" s="8" t="inlineStr">
        <is>
          <t>01/12/2021</t>
        </is>
      </c>
      <c r="C16" s="8" t="n">
        <v>23</v>
      </c>
      <c r="D16" s="9" t="inlineStr">
        <is>
          <t>Youth (&lt;25)</t>
        </is>
      </c>
      <c r="E16" s="9" t="inlineStr">
        <is>
          <t>Australia</t>
        </is>
      </c>
      <c r="F16" s="9" t="inlineStr">
        <is>
          <t>Mountain Bikes</t>
        </is>
      </c>
      <c r="G16" s="9" t="inlineStr">
        <is>
          <t>Mountain-200 Black, 46</t>
        </is>
      </c>
      <c r="H16" s="10">
        <f>LEFT(G16, 12)</f>
        <v/>
      </c>
      <c r="I16" s="10">
        <f>MID(G16, 14, 5)</f>
        <v/>
      </c>
      <c r="J16" s="10">
        <f>RIGHT(G16, 2)</f>
        <v/>
      </c>
      <c r="K16" s="8" t="n">
        <v>4</v>
      </c>
      <c r="L16" s="11" t="n">
        <v>3533</v>
      </c>
      <c r="M16" s="10">
        <f>CONCAT(A16, ": ", K16, " ", F16, " - ", B16)</f>
        <v/>
      </c>
    </row>
    <row r="17">
      <c r="A17" s="4" t="inlineStr">
        <is>
          <t>000261707</t>
        </is>
      </c>
      <c r="B17" s="4" t="inlineStr">
        <is>
          <t>01/12/2021</t>
        </is>
      </c>
      <c r="C17" s="4" t="n">
        <v>30</v>
      </c>
      <c r="D17" s="5" t="inlineStr">
        <is>
          <t>Young Adult (25-34)</t>
        </is>
      </c>
      <c r="E17" s="5" t="inlineStr">
        <is>
          <t>Australia</t>
        </is>
      </c>
      <c r="F17" s="5" t="inlineStr">
        <is>
          <t>Mountain Bikes</t>
        </is>
      </c>
      <c r="G17" s="5" t="inlineStr">
        <is>
          <t>Mountain-200 Silver, 38</t>
        </is>
      </c>
      <c r="H17" s="6">
        <f>LEFT(G17, 12)</f>
        <v/>
      </c>
      <c r="I17" s="6">
        <f>MID(G17, 14, 6)</f>
        <v/>
      </c>
      <c r="J17" s="6">
        <f>RIGHT(G17, 2)</f>
        <v/>
      </c>
      <c r="K17" s="4" t="n">
        <v>1</v>
      </c>
      <c r="L17" s="7" t="n">
        <v>1410</v>
      </c>
      <c r="M17" s="6">
        <f>CONCAT(A17, ": ", K17, " ", F17, " - ", B17)</f>
        <v/>
      </c>
    </row>
    <row r="18">
      <c r="A18" s="8" t="inlineStr">
        <is>
          <t>000261708</t>
        </is>
      </c>
      <c r="B18" s="8" t="inlineStr">
        <is>
          <t>01/12/2021</t>
        </is>
      </c>
      <c r="C18" s="8" t="n">
        <v>45</v>
      </c>
      <c r="D18" s="9" t="inlineStr">
        <is>
          <t>Adult (35-64)</t>
        </is>
      </c>
      <c r="E18" s="9" t="inlineStr">
        <is>
          <t>Australia</t>
        </is>
      </c>
      <c r="F18" s="9" t="inlineStr">
        <is>
          <t>Mountain Bikes</t>
        </is>
      </c>
      <c r="G18" s="9" t="inlineStr">
        <is>
          <t>Mountain-200 Silver, 42</t>
        </is>
      </c>
      <c r="H18" s="10">
        <f>LEFT(G18, 12)</f>
        <v/>
      </c>
      <c r="I18" s="10">
        <f>MID(G18, 14, 6)</f>
        <v/>
      </c>
      <c r="J18" s="10">
        <f>RIGHT(G18, 2)</f>
        <v/>
      </c>
      <c r="K18" s="8" t="n">
        <v>2</v>
      </c>
      <c r="L18" s="11" t="n">
        <v>2625</v>
      </c>
      <c r="M18" s="10">
        <f>CONCAT(A18, ": ", K18, " ", F18, " - ", B18)</f>
        <v/>
      </c>
    </row>
    <row r="19">
      <c r="A19" s="4" t="inlineStr">
        <is>
          <t>000261709</t>
        </is>
      </c>
      <c r="B19" s="4" t="inlineStr">
        <is>
          <t>01/12/2021</t>
        </is>
      </c>
      <c r="C19" s="4" t="n">
        <v>28</v>
      </c>
      <c r="D19" s="5" t="inlineStr">
        <is>
          <t>Young Adult (25-34)</t>
        </is>
      </c>
      <c r="E19" s="5" t="inlineStr">
        <is>
          <t>United States</t>
        </is>
      </c>
      <c r="F19" s="5" t="inlineStr">
        <is>
          <t>Mountain Bikes</t>
        </is>
      </c>
      <c r="G19" s="5" t="inlineStr">
        <is>
          <t>Mountain-200-W Silver, 38</t>
        </is>
      </c>
      <c r="H19" s="6">
        <f>LEFT(G19, 14)</f>
        <v/>
      </c>
      <c r="I19" s="6">
        <f>MID(G19, 16, 6)</f>
        <v/>
      </c>
      <c r="J19" s="6">
        <f>RIGHT(G19, 2)</f>
        <v/>
      </c>
      <c r="K19" s="4" t="n">
        <v>3</v>
      </c>
      <c r="L19" s="7" t="n">
        <v>3840</v>
      </c>
      <c r="M19" s="6">
        <f>CONCAT(A19, ": ", K19, " ", F19, " - ", B19)</f>
        <v/>
      </c>
    </row>
    <row r="20">
      <c r="A20" s="8" t="inlineStr">
        <is>
          <t>000261710</t>
        </is>
      </c>
      <c r="B20" s="8" t="inlineStr">
        <is>
          <t>01/12/2021</t>
        </is>
      </c>
      <c r="C20" s="8" t="n">
        <v>50</v>
      </c>
      <c r="D20" s="9" t="inlineStr">
        <is>
          <t>Adult (35-64)</t>
        </is>
      </c>
      <c r="E20" s="9" t="inlineStr">
        <is>
          <t>United States</t>
        </is>
      </c>
      <c r="F20" s="9" t="inlineStr">
        <is>
          <t>Mountain Bikes</t>
        </is>
      </c>
      <c r="G20" s="9" t="inlineStr">
        <is>
          <t>Mountain-200-W Silver, 40</t>
        </is>
      </c>
      <c r="H20" s="10">
        <f>LEFT(G20, 14)</f>
        <v/>
      </c>
      <c r="I20" s="10">
        <f>MID(G20, 16, 6)</f>
        <v/>
      </c>
      <c r="J20" s="10">
        <f>RIGHT(G20, 2)</f>
        <v/>
      </c>
      <c r="K20" s="8" t="n">
        <v>1</v>
      </c>
      <c r="L20" s="11" t="n">
        <v>1455</v>
      </c>
      <c r="M20" s="10">
        <f>CONCAT(A20, ": ", K20, " ", F20, " - ", B20)</f>
        <v/>
      </c>
    </row>
    <row r="21">
      <c r="A21" s="4" t="inlineStr">
        <is>
          <t>000261711</t>
        </is>
      </c>
      <c r="B21" s="4" t="inlineStr">
        <is>
          <t>01/12/2021</t>
        </is>
      </c>
      <c r="C21" s="4" t="n">
        <v>22</v>
      </c>
      <c r="D21" s="5" t="inlineStr">
        <is>
          <t>Youth (&lt;25)</t>
        </is>
      </c>
      <c r="E21" s="5" t="inlineStr">
        <is>
          <t>Canada</t>
        </is>
      </c>
      <c r="F21" s="5" t="inlineStr">
        <is>
          <t>Road Bikes</t>
        </is>
      </c>
      <c r="G21" s="5" t="inlineStr">
        <is>
          <t>Road-150 Red, 44</t>
        </is>
      </c>
      <c r="H21" s="6">
        <f>LEFT(G21, 12)</f>
        <v/>
      </c>
      <c r="I21" s="6">
        <f>MID(G21, 14, 5)</f>
        <v/>
      </c>
      <c r="J21" s="6">
        <f>RIGHT(G21, 2)</f>
        <v/>
      </c>
      <c r="K21" s="4" t="n">
        <v>2</v>
      </c>
      <c r="L21" s="7" t="n">
        <v>5270</v>
      </c>
      <c r="M21" s="6">
        <f>CONCAT(A21, ": ", K21, " ", F21, " - ", B21)</f>
        <v/>
      </c>
    </row>
    <row r="22">
      <c r="A22" s="8" t="inlineStr">
        <is>
          <t>000261712</t>
        </is>
      </c>
      <c r="B22" s="8" t="inlineStr">
        <is>
          <t>01/12/2021</t>
        </is>
      </c>
      <c r="C22" s="8" t="n">
        <v>33</v>
      </c>
      <c r="D22" s="9" t="inlineStr">
        <is>
          <t>Young Adult (25-34)</t>
        </is>
      </c>
      <c r="E22" s="9" t="inlineStr">
        <is>
          <t>Canada</t>
        </is>
      </c>
      <c r="F22" s="9" t="inlineStr">
        <is>
          <t>Road Bikes</t>
        </is>
      </c>
      <c r="G22" s="9" t="inlineStr">
        <is>
          <t>Road-150 Red, 48</t>
        </is>
      </c>
      <c r="H22" s="10">
        <f>LEFT(G22, 12)</f>
        <v/>
      </c>
      <c r="I22" s="10">
        <f>MID(G22, 14, 5)</f>
        <v/>
      </c>
      <c r="J22" s="10">
        <f>RIGHT(G22, 2)</f>
        <v/>
      </c>
      <c r="K22" s="8" t="n">
        <v>1</v>
      </c>
      <c r="L22" s="11" t="n">
        <v>2785</v>
      </c>
      <c r="M22" s="10">
        <f>CONCAT(A22, ": ", K22, " ", F22, " - ", B22)</f>
        <v/>
      </c>
    </row>
    <row r="23">
      <c r="A23" s="4" t="inlineStr">
        <is>
          <t>000261713</t>
        </is>
      </c>
      <c r="B23" s="4" t="inlineStr">
        <is>
          <t>01/12/2021</t>
        </is>
      </c>
      <c r="C23" s="4" t="n">
        <v>20</v>
      </c>
      <c r="D23" s="5" t="inlineStr">
        <is>
          <t>Youth (&lt;25)</t>
        </is>
      </c>
      <c r="E23" s="5" t="inlineStr">
        <is>
          <t>Australia</t>
        </is>
      </c>
      <c r="F23" s="5" t="inlineStr">
        <is>
          <t>Mountain Bikes</t>
        </is>
      </c>
      <c r="G23" s="5" t="inlineStr">
        <is>
          <t>Mountain-200 Black, 38</t>
        </is>
      </c>
      <c r="H23" s="6">
        <f>LEFT(G23, 12)</f>
        <v/>
      </c>
      <c r="I23" s="6">
        <f>MID(G23, 14, 5)</f>
        <v/>
      </c>
      <c r="J23" s="6">
        <f>RIGHT(G23, 2)</f>
        <v/>
      </c>
      <c r="K23" s="4" t="n">
        <v>5</v>
      </c>
      <c r="L23" s="7" t="n">
        <v>3533</v>
      </c>
      <c r="M23" s="6">
        <f>CONCAT(A23, ": ", K23, " ", F23, " - ", B23)</f>
        <v/>
      </c>
    </row>
    <row r="24">
      <c r="A24" s="8" t="inlineStr">
        <is>
          <t>000261714</t>
        </is>
      </c>
      <c r="B24" s="8" t="inlineStr">
        <is>
          <t>01/12/2021</t>
        </is>
      </c>
      <c r="C24" s="8" t="n">
        <v>38</v>
      </c>
      <c r="D24" s="9" t="inlineStr">
        <is>
          <t>Adult (35-64)</t>
        </is>
      </c>
      <c r="E24" s="9" t="inlineStr">
        <is>
          <t>Germany</t>
        </is>
      </c>
      <c r="F24" s="9" t="inlineStr">
        <is>
          <t>Touring Bikes</t>
        </is>
      </c>
      <c r="G24" s="9" t="inlineStr">
        <is>
          <t>Touring-1000 Blue, 50</t>
        </is>
      </c>
      <c r="H24" s="10">
        <f>LEFT(G24, 12)</f>
        <v/>
      </c>
      <c r="I24" s="10">
        <f>MID(G24, 14, 5)</f>
        <v/>
      </c>
      <c r="J24" s="10">
        <f>RIGHT(G24, 2)</f>
        <v/>
      </c>
      <c r="K24" s="8" t="n">
        <v>1</v>
      </c>
      <c r="L24" s="11" t="n">
        <v>2115</v>
      </c>
      <c r="M24" s="10">
        <f>CONCAT(A24, ": ", K24, " ", F24, " - ", B24)</f>
        <v/>
      </c>
    </row>
    <row r="25">
      <c r="A25" s="4" t="inlineStr">
        <is>
          <t>000261715</t>
        </is>
      </c>
      <c r="B25" s="4" t="inlineStr">
        <is>
          <t>01/12/2021</t>
        </is>
      </c>
      <c r="C25" s="4" t="n">
        <v>29</v>
      </c>
      <c r="D25" s="5" t="inlineStr">
        <is>
          <t>Young Adult (25-34)</t>
        </is>
      </c>
      <c r="E25" s="5" t="inlineStr">
        <is>
          <t>France</t>
        </is>
      </c>
      <c r="F25" s="5" t="inlineStr">
        <is>
          <t>Road Bikes</t>
        </is>
      </c>
      <c r="G25" s="5" t="inlineStr">
        <is>
          <t>Road-650 Black, 52</t>
        </is>
      </c>
      <c r="H25" s="6">
        <f>LEFT(G25, 12)</f>
        <v/>
      </c>
      <c r="I25" s="6">
        <f>MID(G25, 14, 5)</f>
        <v/>
      </c>
      <c r="J25" s="6">
        <f>RIGHT(G25, 2)</f>
        <v/>
      </c>
      <c r="K25" s="4" t="n">
        <v>2</v>
      </c>
      <c r="L25" s="7" t="n">
        <v>3130</v>
      </c>
      <c r="M25" s="6">
        <f>CONCAT(A25, ": ", K25, " ", F25, " - ", B25)</f>
        <v/>
      </c>
    </row>
    <row r="26">
      <c r="A26" s="8" t="inlineStr">
        <is>
          <t>000261716</t>
        </is>
      </c>
      <c r="B26" s="8" t="inlineStr">
        <is>
          <t>01/12/2021</t>
        </is>
      </c>
      <c r="C26" s="8" t="n">
        <v>19</v>
      </c>
      <c r="D26" s="9" t="inlineStr">
        <is>
          <t>Youth (&lt;25)</t>
        </is>
      </c>
      <c r="E26" s="9" t="inlineStr">
        <is>
          <t>Australia</t>
        </is>
      </c>
      <c r="F26" s="9" t="inlineStr">
        <is>
          <t>Mountain Bikes</t>
        </is>
      </c>
      <c r="G26" s="9" t="inlineStr">
        <is>
          <t>Mountain-200 Silver, 42</t>
        </is>
      </c>
      <c r="H26" s="10">
        <f>LEFT(G26, 12)</f>
        <v/>
      </c>
      <c r="I26" s="10">
        <f>MID(G26, 14, 6)</f>
        <v/>
      </c>
      <c r="J26" s="10">
        <f>RIGHT(G26, 2)</f>
        <v/>
      </c>
      <c r="K26" s="8" t="n">
        <v>1</v>
      </c>
      <c r="L26" s="11" t="n">
        <v>3533</v>
      </c>
      <c r="M26" s="10">
        <f>CONCAT(A26, ": ", K26, " ", F26, " - ", B26)</f>
        <v/>
      </c>
    </row>
    <row r="27">
      <c r="A27" s="4" t="inlineStr">
        <is>
          <t>000261717</t>
        </is>
      </c>
      <c r="B27" s="4" t="inlineStr">
        <is>
          <t>01/12/2021</t>
        </is>
      </c>
      <c r="C27" s="4" t="n">
        <v>23</v>
      </c>
      <c r="D27" s="5" t="inlineStr">
        <is>
          <t>Youth (&lt;25)</t>
        </is>
      </c>
      <c r="E27" s="5" t="inlineStr">
        <is>
          <t>Australia</t>
        </is>
      </c>
      <c r="F27" s="5" t="inlineStr">
        <is>
          <t>Mountain Bikes</t>
        </is>
      </c>
      <c r="G27" s="5" t="inlineStr">
        <is>
          <t>Mountain-200 Black, 46</t>
        </is>
      </c>
      <c r="H27" s="6">
        <f>LEFT(G27, 12)</f>
        <v/>
      </c>
      <c r="I27" s="6">
        <f>MID(G27, 14, 5)</f>
        <v/>
      </c>
      <c r="J27" s="6">
        <f>RIGHT(G27, 2)</f>
        <v/>
      </c>
      <c r="K27" s="4" t="n">
        <v>4</v>
      </c>
      <c r="L27" s="7" t="n">
        <v>3533</v>
      </c>
      <c r="M27" s="6">
        <f>CONCAT(A27, ": ", K27, " ", F27, " - ", B27)</f>
        <v/>
      </c>
    </row>
    <row r="28">
      <c r="A28" s="8" t="inlineStr">
        <is>
          <t>000261718</t>
        </is>
      </c>
      <c r="B28" s="8" t="inlineStr">
        <is>
          <t>01/12/2021</t>
        </is>
      </c>
      <c r="C28" s="8" t="n">
        <v>30</v>
      </c>
      <c r="D28" s="9" t="inlineStr">
        <is>
          <t>Young Adult (25-34)</t>
        </is>
      </c>
      <c r="E28" s="9" t="inlineStr">
        <is>
          <t>Australia</t>
        </is>
      </c>
      <c r="F28" s="9" t="inlineStr">
        <is>
          <t>Mountain Bikes</t>
        </is>
      </c>
      <c r="G28" s="9" t="inlineStr">
        <is>
          <t>Mountain-200 Silver, 38</t>
        </is>
      </c>
      <c r="H28" s="10">
        <f>LEFT(G28, 12)</f>
        <v/>
      </c>
      <c r="I28" s="10">
        <f>MID(G28, 14, 6)</f>
        <v/>
      </c>
      <c r="J28" s="10">
        <f>RIGHT(G28, 2)</f>
        <v/>
      </c>
      <c r="K28" s="8" t="n">
        <v>1</v>
      </c>
      <c r="L28" s="11" t="n">
        <v>1575</v>
      </c>
      <c r="M28" s="10">
        <f>CONCAT(A28, ": ", K28, " ", F28, " - ", B28)</f>
        <v/>
      </c>
    </row>
    <row r="29">
      <c r="A29" s="4" t="inlineStr">
        <is>
          <t>000261719</t>
        </is>
      </c>
      <c r="B29" s="4" t="inlineStr">
        <is>
          <t>01/12/2021</t>
        </is>
      </c>
      <c r="C29" s="4" t="n">
        <v>45</v>
      </c>
      <c r="D29" s="5" t="inlineStr">
        <is>
          <t>Adult (35-64)</t>
        </is>
      </c>
      <c r="E29" s="5" t="inlineStr">
        <is>
          <t>Australia</t>
        </is>
      </c>
      <c r="F29" s="5" t="inlineStr">
        <is>
          <t>Mountain Bikes</t>
        </is>
      </c>
      <c r="G29" s="5" t="inlineStr">
        <is>
          <t>Mountain-200 Silver, 42</t>
        </is>
      </c>
      <c r="H29" s="6">
        <f>LEFT(G29, 12)</f>
        <v/>
      </c>
      <c r="I29" s="6">
        <f>MID(G29, 14, 6)</f>
        <v/>
      </c>
      <c r="J29" s="6">
        <f>RIGHT(G29, 2)</f>
        <v/>
      </c>
      <c r="K29" s="4" t="n">
        <v>2</v>
      </c>
      <c r="L29" s="7" t="n">
        <v>2790</v>
      </c>
      <c r="M29" s="6">
        <f>CONCAT(A29, ": ", K29, " ", F29, " - ", B29)</f>
        <v/>
      </c>
    </row>
    <row r="30">
      <c r="A30" s="8" t="inlineStr">
        <is>
          <t>000261720</t>
        </is>
      </c>
      <c r="B30" s="8" t="inlineStr">
        <is>
          <t>01/12/2021</t>
        </is>
      </c>
      <c r="C30" s="8" t="n">
        <v>28</v>
      </c>
      <c r="D30" s="9" t="inlineStr">
        <is>
          <t>Young Adult (25-34)</t>
        </is>
      </c>
      <c r="E30" s="9" t="inlineStr">
        <is>
          <t>United States</t>
        </is>
      </c>
      <c r="F30" s="9" t="inlineStr">
        <is>
          <t>Mountain Bikes</t>
        </is>
      </c>
      <c r="G30" s="9" t="inlineStr">
        <is>
          <t>Mountain-200-W Silver, 38</t>
        </is>
      </c>
      <c r="H30" s="10">
        <f>LEFT(G30, 14)</f>
        <v/>
      </c>
      <c r="I30" s="10">
        <f>MID(G30, 16, 6)</f>
        <v/>
      </c>
      <c r="J30" s="10">
        <f>RIGHT(G30, 2)</f>
        <v/>
      </c>
      <c r="K30" s="8" t="n">
        <v>3</v>
      </c>
      <c r="L30" s="11" t="n">
        <v>4005</v>
      </c>
      <c r="M30" s="10">
        <f>CONCAT(A30, ": ", K30, " ", F30, " - ", B30)</f>
        <v/>
      </c>
    </row>
    <row r="31">
      <c r="A31" s="4" t="inlineStr">
        <is>
          <t>000261721</t>
        </is>
      </c>
      <c r="B31" s="4" t="inlineStr">
        <is>
          <t>01/12/2021</t>
        </is>
      </c>
      <c r="C31" s="4" t="n">
        <v>50</v>
      </c>
      <c r="D31" s="5" t="inlineStr">
        <is>
          <t>Adult (35-64)</t>
        </is>
      </c>
      <c r="E31" s="5" t="inlineStr">
        <is>
          <t>United States</t>
        </is>
      </c>
      <c r="F31" s="5" t="inlineStr">
        <is>
          <t>Mountain Bikes</t>
        </is>
      </c>
      <c r="G31" s="5" t="inlineStr">
        <is>
          <t>Mountain-200-W Silver, 40</t>
        </is>
      </c>
      <c r="H31" s="6">
        <f>LEFT(G31, 14)</f>
        <v/>
      </c>
      <c r="I31" s="6">
        <f>MID(G31, 16, 6)</f>
        <v/>
      </c>
      <c r="J31" s="6">
        <f>RIGHT(G31, 2)</f>
        <v/>
      </c>
      <c r="K31" s="4" t="n">
        <v>1</v>
      </c>
      <c r="L31" s="7" t="n">
        <v>1620</v>
      </c>
      <c r="M31" s="6">
        <f>CONCAT(A31, ": ", K31, " ", F31, " - ", B31)</f>
        <v/>
      </c>
    </row>
    <row r="32">
      <c r="A32" s="8" t="inlineStr">
        <is>
          <t>000261722</t>
        </is>
      </c>
      <c r="B32" s="8" t="inlineStr">
        <is>
          <t>01/12/2021</t>
        </is>
      </c>
      <c r="C32" s="8" t="n">
        <v>22</v>
      </c>
      <c r="D32" s="9" t="inlineStr">
        <is>
          <t>Youth (&lt;25)</t>
        </is>
      </c>
      <c r="E32" s="9" t="inlineStr">
        <is>
          <t>Canada</t>
        </is>
      </c>
      <c r="F32" s="9" t="inlineStr">
        <is>
          <t>Road Bikes</t>
        </is>
      </c>
      <c r="G32" s="9" t="inlineStr">
        <is>
          <t>Road-150 Red, 44</t>
        </is>
      </c>
      <c r="H32" s="10">
        <f>LEFT(G32, 12)</f>
        <v/>
      </c>
      <c r="I32" s="10">
        <f>MID(G32, 14, 5)</f>
        <v/>
      </c>
      <c r="J32" s="10">
        <f>RIGHT(G32, 2)</f>
        <v/>
      </c>
      <c r="K32" s="8" t="n">
        <v>2</v>
      </c>
      <c r="L32" s="11" t="n">
        <v>5435</v>
      </c>
      <c r="M32" s="10">
        <f>CONCAT(A32, ": ", K32, " ", F32, " - ", B32)</f>
        <v/>
      </c>
    </row>
    <row r="33">
      <c r="A33" s="4" t="inlineStr">
        <is>
          <t>000261723</t>
        </is>
      </c>
      <c r="B33" s="4" t="inlineStr">
        <is>
          <t>01/12/2021</t>
        </is>
      </c>
      <c r="C33" s="4" t="n">
        <v>33</v>
      </c>
      <c r="D33" s="5" t="inlineStr">
        <is>
          <t>Young Adult (25-34)</t>
        </is>
      </c>
      <c r="E33" s="5" t="inlineStr">
        <is>
          <t>Canada</t>
        </is>
      </c>
      <c r="F33" s="5" t="inlineStr">
        <is>
          <t>Road Bikes</t>
        </is>
      </c>
      <c r="G33" s="5" t="inlineStr">
        <is>
          <t>Road-150 Red, 48</t>
        </is>
      </c>
      <c r="H33" s="6">
        <f>LEFT(G33, 12)</f>
        <v/>
      </c>
      <c r="I33" s="6">
        <f>MID(G33, 14, 5)</f>
        <v/>
      </c>
      <c r="J33" s="6">
        <f>RIGHT(G33, 2)</f>
        <v/>
      </c>
      <c r="K33" s="4" t="n">
        <v>1</v>
      </c>
      <c r="L33" s="7" t="n">
        <v>2950</v>
      </c>
      <c r="M33" s="6">
        <f>CONCAT(A33, ": ", K33, " ", F33, " - ", B33)</f>
        <v/>
      </c>
    </row>
    <row r="34">
      <c r="A34" s="8" t="inlineStr">
        <is>
          <t>000261724</t>
        </is>
      </c>
      <c r="B34" s="8" t="inlineStr">
        <is>
          <t>01/12/2021</t>
        </is>
      </c>
      <c r="C34" s="8" t="n">
        <v>20</v>
      </c>
      <c r="D34" s="9" t="inlineStr">
        <is>
          <t>Youth (&lt;25)</t>
        </is>
      </c>
      <c r="E34" s="9" t="inlineStr">
        <is>
          <t>Australia</t>
        </is>
      </c>
      <c r="F34" s="9" t="inlineStr">
        <is>
          <t>Mountain Bikes</t>
        </is>
      </c>
      <c r="G34" s="9" t="inlineStr">
        <is>
          <t>Mountain-200 Black, 38</t>
        </is>
      </c>
      <c r="H34" s="10">
        <f>LEFT(G34, 12)</f>
        <v/>
      </c>
      <c r="I34" s="10">
        <f>MID(G34, 14, 5)</f>
        <v/>
      </c>
      <c r="J34" s="10">
        <f>RIGHT(G34, 2)</f>
        <v/>
      </c>
      <c r="K34" s="8" t="n">
        <v>5</v>
      </c>
      <c r="L34" s="11" t="n">
        <v>3533</v>
      </c>
      <c r="M34" s="10">
        <f>CONCAT(A34, ": ", K34, " ", F34, " - ", B34)</f>
        <v/>
      </c>
    </row>
    <row r="35">
      <c r="A35" s="4" t="inlineStr">
        <is>
          <t>000261725</t>
        </is>
      </c>
      <c r="B35" s="4" t="inlineStr">
        <is>
          <t>01/12/2021</t>
        </is>
      </c>
      <c r="C35" s="4" t="n">
        <v>38</v>
      </c>
      <c r="D35" s="5" t="inlineStr">
        <is>
          <t>Adult (35-64)</t>
        </is>
      </c>
      <c r="E35" s="5" t="inlineStr">
        <is>
          <t>Germany</t>
        </is>
      </c>
      <c r="F35" s="5" t="inlineStr">
        <is>
          <t>Touring Bikes</t>
        </is>
      </c>
      <c r="G35" s="5" t="inlineStr">
        <is>
          <t>Touring-1000 Blue, 50</t>
        </is>
      </c>
      <c r="H35" s="6">
        <f>LEFT(G35, 12)</f>
        <v/>
      </c>
      <c r="I35" s="6">
        <f>MID(G35, 14, 5)</f>
        <v/>
      </c>
      <c r="J35" s="6">
        <f>RIGHT(G35, 2)</f>
        <v/>
      </c>
      <c r="K35" s="4" t="n">
        <v>1</v>
      </c>
      <c r="L35" s="7" t="n">
        <v>2280</v>
      </c>
      <c r="M35" s="6">
        <f>CONCAT(A35, ": ", K35, " ", F35, " - ", B35)</f>
        <v/>
      </c>
    </row>
    <row r="36">
      <c r="A36" s="8" t="inlineStr">
        <is>
          <t>000261726</t>
        </is>
      </c>
      <c r="B36" s="8" t="inlineStr">
        <is>
          <t>01/12/2021</t>
        </is>
      </c>
      <c r="C36" s="8" t="n">
        <v>29</v>
      </c>
      <c r="D36" s="9" t="inlineStr">
        <is>
          <t>Young Adult (25-34)</t>
        </is>
      </c>
      <c r="E36" s="9" t="inlineStr">
        <is>
          <t>France</t>
        </is>
      </c>
      <c r="F36" s="9" t="inlineStr">
        <is>
          <t>Road Bikes</t>
        </is>
      </c>
      <c r="G36" s="9" t="inlineStr">
        <is>
          <t>Road-650 Black, 52</t>
        </is>
      </c>
      <c r="H36" s="10">
        <f>LEFT(G36, 12)</f>
        <v/>
      </c>
      <c r="I36" s="10">
        <f>MID(G36, 14, 5)</f>
        <v/>
      </c>
      <c r="J36" s="10">
        <f>RIGHT(G36, 2)</f>
        <v/>
      </c>
      <c r="K36" s="8" t="n">
        <v>2</v>
      </c>
      <c r="L36" s="11" t="n">
        <v>3295</v>
      </c>
      <c r="M36" s="10">
        <f>CONCAT(A36, ": ", K36, " ", F36, " - ", B36)</f>
        <v/>
      </c>
    </row>
    <row r="37">
      <c r="A37" s="4" t="inlineStr">
        <is>
          <t>000261727</t>
        </is>
      </c>
      <c r="B37" s="4" t="inlineStr">
        <is>
          <t>01/12/2021</t>
        </is>
      </c>
      <c r="C37" s="4" t="n">
        <v>19</v>
      </c>
      <c r="D37" s="5" t="inlineStr">
        <is>
          <t>Youth (&lt;25)</t>
        </is>
      </c>
      <c r="E37" s="5" t="inlineStr">
        <is>
          <t>Australia</t>
        </is>
      </c>
      <c r="F37" s="5" t="inlineStr">
        <is>
          <t>Mountain Bikes</t>
        </is>
      </c>
      <c r="G37" s="5" t="inlineStr">
        <is>
          <t>Mountain-200 Silver, 42</t>
        </is>
      </c>
      <c r="H37" s="6">
        <f>LEFT(G37, 12)</f>
        <v/>
      </c>
      <c r="I37" s="6">
        <f>MID(G37, 14, 6)</f>
        <v/>
      </c>
      <c r="J37" s="6">
        <f>RIGHT(G37, 2)</f>
        <v/>
      </c>
      <c r="K37" s="4" t="n">
        <v>1</v>
      </c>
      <c r="L37" s="7" t="n">
        <v>3533</v>
      </c>
      <c r="M37" s="6">
        <f>CONCAT(A37, ": ", K37, " ", F37, " - ", B37)</f>
        <v/>
      </c>
    </row>
    <row r="38">
      <c r="A38" s="8" t="inlineStr">
        <is>
          <t>000261728</t>
        </is>
      </c>
      <c r="B38" s="8" t="inlineStr">
        <is>
          <t>01/12/2021</t>
        </is>
      </c>
      <c r="C38" s="8" t="n">
        <v>23</v>
      </c>
      <c r="D38" s="9" t="inlineStr">
        <is>
          <t>Youth (&lt;25)</t>
        </is>
      </c>
      <c r="E38" s="9" t="inlineStr">
        <is>
          <t>Australia</t>
        </is>
      </c>
      <c r="F38" s="9" t="inlineStr">
        <is>
          <t>Mountain Bikes</t>
        </is>
      </c>
      <c r="G38" s="9" t="inlineStr">
        <is>
          <t>Mountain-200 Black, 46</t>
        </is>
      </c>
      <c r="H38" s="10">
        <f>LEFT(G38, 12)</f>
        <v/>
      </c>
      <c r="I38" s="10">
        <f>MID(G38, 14, 5)</f>
        <v/>
      </c>
      <c r="J38" s="10">
        <f>RIGHT(G38, 2)</f>
        <v/>
      </c>
      <c r="K38" s="8" t="n">
        <v>4</v>
      </c>
      <c r="L38" s="11" t="n">
        <v>3533</v>
      </c>
      <c r="M38" s="10">
        <f>CONCAT(A38, ": ", K38, " ", F38, " - ", B38)</f>
        <v/>
      </c>
    </row>
    <row r="39">
      <c r="A39" s="4" t="inlineStr">
        <is>
          <t>000261729</t>
        </is>
      </c>
      <c r="B39" s="4" t="inlineStr">
        <is>
          <t>01/12/2021</t>
        </is>
      </c>
      <c r="C39" s="4" t="n">
        <v>30</v>
      </c>
      <c r="D39" s="5" t="inlineStr">
        <is>
          <t>Young Adult (25-34)</t>
        </is>
      </c>
      <c r="E39" s="5" t="inlineStr">
        <is>
          <t>Australia</t>
        </is>
      </c>
      <c r="F39" s="5" t="inlineStr">
        <is>
          <t>Mountain Bikes</t>
        </is>
      </c>
      <c r="G39" s="5" t="inlineStr">
        <is>
          <t>Mountain-200 Silver, 38</t>
        </is>
      </c>
      <c r="H39" s="6">
        <f>LEFT(G39, 12)</f>
        <v/>
      </c>
      <c r="I39" s="6">
        <f>MID(G39, 14, 6)</f>
        <v/>
      </c>
      <c r="J39" s="6">
        <f>RIGHT(G39, 2)</f>
        <v/>
      </c>
      <c r="K39" s="4" t="n">
        <v>1</v>
      </c>
      <c r="L39" s="7" t="n">
        <v>1740</v>
      </c>
      <c r="M39" s="6">
        <f>CONCAT(A39, ": ", K39, " ", F39, " - ", B39)</f>
        <v/>
      </c>
    </row>
    <row r="40">
      <c r="A40" s="8" t="inlineStr">
        <is>
          <t>000261730</t>
        </is>
      </c>
      <c r="B40" s="8" t="inlineStr">
        <is>
          <t>01/12/2021</t>
        </is>
      </c>
      <c r="C40" s="8" t="n">
        <v>45</v>
      </c>
      <c r="D40" s="9" t="inlineStr">
        <is>
          <t>Adult (35-64)</t>
        </is>
      </c>
      <c r="E40" s="9" t="inlineStr">
        <is>
          <t>Australia</t>
        </is>
      </c>
      <c r="F40" s="9" t="inlineStr">
        <is>
          <t>Mountain Bikes</t>
        </is>
      </c>
      <c r="G40" s="9" t="inlineStr">
        <is>
          <t>Mountain-200 Silver, 42</t>
        </is>
      </c>
      <c r="H40" s="10">
        <f>LEFT(G40, 12)</f>
        <v/>
      </c>
      <c r="I40" s="10">
        <f>MID(G40, 14, 6)</f>
        <v/>
      </c>
      <c r="J40" s="10">
        <f>RIGHT(G40, 2)</f>
        <v/>
      </c>
      <c r="K40" s="8" t="n">
        <v>2</v>
      </c>
      <c r="L40" s="11" t="n">
        <v>2955</v>
      </c>
      <c r="M40" s="10">
        <f>CONCAT(A40, ": ", K40, " ", F40, " - ", B40)</f>
        <v/>
      </c>
    </row>
    <row r="41">
      <c r="A41" s="4" t="inlineStr">
        <is>
          <t>000261731</t>
        </is>
      </c>
      <c r="B41" s="4" t="inlineStr">
        <is>
          <t>01/12/2021</t>
        </is>
      </c>
      <c r="C41" s="4" t="n">
        <v>28</v>
      </c>
      <c r="D41" s="5" t="inlineStr">
        <is>
          <t>Young Adult (25-34)</t>
        </is>
      </c>
      <c r="E41" s="5" t="inlineStr">
        <is>
          <t>United States</t>
        </is>
      </c>
      <c r="F41" s="5" t="inlineStr">
        <is>
          <t>Mountain Bikes</t>
        </is>
      </c>
      <c r="G41" s="5" t="inlineStr">
        <is>
          <t>Mountain-200-W Silver, 38</t>
        </is>
      </c>
      <c r="H41" s="6">
        <f>LEFT(G41, 14)</f>
        <v/>
      </c>
      <c r="I41" s="6">
        <f>MID(G41, 16, 6)</f>
        <v/>
      </c>
      <c r="J41" s="6">
        <f>RIGHT(G41, 2)</f>
        <v/>
      </c>
      <c r="K41" s="4" t="n">
        <v>3</v>
      </c>
      <c r="L41" s="7" t="n">
        <v>4170</v>
      </c>
      <c r="M41" s="6">
        <f>CONCAT(A41, ": ", K41, " ", F41, " - ", B41)</f>
        <v/>
      </c>
    </row>
    <row r="42">
      <c r="A42" s="8" t="inlineStr">
        <is>
          <t>000261732</t>
        </is>
      </c>
      <c r="B42" s="8" t="inlineStr">
        <is>
          <t>01/12/2021</t>
        </is>
      </c>
      <c r="C42" s="8" t="n">
        <v>50</v>
      </c>
      <c r="D42" s="9" t="inlineStr">
        <is>
          <t>Adult (35-64)</t>
        </is>
      </c>
      <c r="E42" s="9" t="inlineStr">
        <is>
          <t>United States</t>
        </is>
      </c>
      <c r="F42" s="9" t="inlineStr">
        <is>
          <t>Mountain Bikes</t>
        </is>
      </c>
      <c r="G42" s="9" t="inlineStr">
        <is>
          <t>Mountain-200-W Silver, 40</t>
        </is>
      </c>
      <c r="H42" s="10">
        <f>LEFT(G42, 14)</f>
        <v/>
      </c>
      <c r="I42" s="10">
        <f>MID(G42, 16, 6)</f>
        <v/>
      </c>
      <c r="J42" s="10">
        <f>RIGHT(G42, 2)</f>
        <v/>
      </c>
      <c r="K42" s="8" t="n">
        <v>1</v>
      </c>
      <c r="L42" s="11" t="n">
        <v>1785</v>
      </c>
      <c r="M42" s="10">
        <f>CONCAT(A42, ": ", K42, " ", F42, " - ", B42)</f>
        <v/>
      </c>
    </row>
    <row r="43">
      <c r="A43" s="4" t="inlineStr">
        <is>
          <t>000261733</t>
        </is>
      </c>
      <c r="B43" s="4" t="inlineStr">
        <is>
          <t>01/12/2021</t>
        </is>
      </c>
      <c r="C43" s="4" t="n">
        <v>22</v>
      </c>
      <c r="D43" s="5" t="inlineStr">
        <is>
          <t>Youth (&lt;25)</t>
        </is>
      </c>
      <c r="E43" s="5" t="inlineStr">
        <is>
          <t>Canada</t>
        </is>
      </c>
      <c r="F43" s="5" t="inlineStr">
        <is>
          <t>Road Bikes</t>
        </is>
      </c>
      <c r="G43" s="5" t="inlineStr">
        <is>
          <t>Road-150 Red, 44</t>
        </is>
      </c>
      <c r="H43" s="6">
        <f>LEFT(G43, 12)</f>
        <v/>
      </c>
      <c r="I43" s="6">
        <f>MID(G43, 14, 5)</f>
        <v/>
      </c>
      <c r="J43" s="6">
        <f>RIGHT(G43, 2)</f>
        <v/>
      </c>
      <c r="K43" s="4" t="n">
        <v>2</v>
      </c>
      <c r="L43" s="7" t="n">
        <v>5600</v>
      </c>
      <c r="M43" s="6">
        <f>CONCAT(A43, ": ", K43, " ", F43, " - ", B43)</f>
        <v/>
      </c>
    </row>
    <row r="44">
      <c r="A44" s="8" t="inlineStr">
        <is>
          <t>000261734</t>
        </is>
      </c>
      <c r="B44" s="8" t="inlineStr">
        <is>
          <t>01/12/2021</t>
        </is>
      </c>
      <c r="C44" s="8" t="n">
        <v>33</v>
      </c>
      <c r="D44" s="9" t="inlineStr">
        <is>
          <t>Young Adult (25-34)</t>
        </is>
      </c>
      <c r="E44" s="9" t="inlineStr">
        <is>
          <t>Canada</t>
        </is>
      </c>
      <c r="F44" s="9" t="inlineStr">
        <is>
          <t>Road Bikes</t>
        </is>
      </c>
      <c r="G44" s="9" t="inlineStr">
        <is>
          <t>Road-150 Red, 48</t>
        </is>
      </c>
      <c r="H44" s="10">
        <f>LEFT(G44, 12)</f>
        <v/>
      </c>
      <c r="I44" s="10">
        <f>MID(G44, 14, 5)</f>
        <v/>
      </c>
      <c r="J44" s="10">
        <f>RIGHT(G44, 2)</f>
        <v/>
      </c>
      <c r="K44" s="8" t="n">
        <v>1</v>
      </c>
      <c r="L44" s="11" t="n">
        <v>3115</v>
      </c>
      <c r="M44" s="10">
        <f>CONCAT(A44, ": ", K44, " ", F44, " - ", B44)</f>
        <v/>
      </c>
    </row>
    <row r="45">
      <c r="A45" s="4" t="inlineStr">
        <is>
          <t>000261735</t>
        </is>
      </c>
      <c r="B45" s="4" t="inlineStr">
        <is>
          <t>01/12/2021</t>
        </is>
      </c>
      <c r="C45" s="4" t="n">
        <v>20</v>
      </c>
      <c r="D45" s="5" t="inlineStr">
        <is>
          <t>Youth (&lt;25)</t>
        </is>
      </c>
      <c r="E45" s="5" t="inlineStr">
        <is>
          <t>Australia</t>
        </is>
      </c>
      <c r="F45" s="5" t="inlineStr">
        <is>
          <t>Mountain Bikes</t>
        </is>
      </c>
      <c r="G45" s="5" t="inlineStr">
        <is>
          <t>Mountain-200 Black, 38</t>
        </is>
      </c>
      <c r="H45" s="6">
        <f>LEFT(G45, 12)</f>
        <v/>
      </c>
      <c r="I45" s="6">
        <f>MID(G45, 14, 5)</f>
        <v/>
      </c>
      <c r="J45" s="6">
        <f>RIGHT(G45, 2)</f>
        <v/>
      </c>
      <c r="K45" s="4" t="n">
        <v>5</v>
      </c>
      <c r="L45" s="7" t="n">
        <v>3533</v>
      </c>
      <c r="M45" s="6">
        <f>CONCAT(A45, ": ", K45, " ", F45, " - ", B45)</f>
        <v/>
      </c>
    </row>
    <row r="46">
      <c r="A46" s="8" t="inlineStr">
        <is>
          <t>000261736</t>
        </is>
      </c>
      <c r="B46" s="8" t="inlineStr">
        <is>
          <t>01/12/2021</t>
        </is>
      </c>
      <c r="C46" s="8" t="n">
        <v>38</v>
      </c>
      <c r="D46" s="9" t="inlineStr">
        <is>
          <t>Adult (35-64)</t>
        </is>
      </c>
      <c r="E46" s="9" t="inlineStr">
        <is>
          <t>Germany</t>
        </is>
      </c>
      <c r="F46" s="9" t="inlineStr">
        <is>
          <t>Touring Bikes</t>
        </is>
      </c>
      <c r="G46" s="9" t="inlineStr">
        <is>
          <t>Touring-1000 Blue, 50</t>
        </is>
      </c>
      <c r="H46" s="10">
        <f>LEFT(G46, 12)</f>
        <v/>
      </c>
      <c r="I46" s="10">
        <f>MID(G46, 14, 5)</f>
        <v/>
      </c>
      <c r="J46" s="10">
        <f>RIGHT(G46, 2)</f>
        <v/>
      </c>
      <c r="K46" s="8" t="n">
        <v>1</v>
      </c>
      <c r="L46" s="11" t="n">
        <v>2445</v>
      </c>
      <c r="M46" s="10">
        <f>CONCAT(A46, ": ", K46, " ", F46, " - ", B46)</f>
        <v/>
      </c>
    </row>
    <row r="47">
      <c r="A47" s="4" t="inlineStr">
        <is>
          <t>000261737</t>
        </is>
      </c>
      <c r="B47" s="4" t="inlineStr">
        <is>
          <t>01/12/2021</t>
        </is>
      </c>
      <c r="C47" s="4" t="n">
        <v>29</v>
      </c>
      <c r="D47" s="5" t="inlineStr">
        <is>
          <t>Young Adult (25-34)</t>
        </is>
      </c>
      <c r="E47" s="5" t="inlineStr">
        <is>
          <t>France</t>
        </is>
      </c>
      <c r="F47" s="5" t="inlineStr">
        <is>
          <t>Road Bikes</t>
        </is>
      </c>
      <c r="G47" s="5" t="inlineStr">
        <is>
          <t>Road-650 Black, 52</t>
        </is>
      </c>
      <c r="H47" s="6">
        <f>LEFT(G47, 12)</f>
        <v/>
      </c>
      <c r="I47" s="6">
        <f>MID(G47, 14, 5)</f>
        <v/>
      </c>
      <c r="J47" s="6">
        <f>RIGHT(G47, 2)</f>
        <v/>
      </c>
      <c r="K47" s="4" t="n">
        <v>2</v>
      </c>
      <c r="L47" s="7" t="n">
        <v>3460</v>
      </c>
      <c r="M47" s="6">
        <f>CONCAT(A47, ": ", K47, " ", F47, " - ", B47)</f>
        <v/>
      </c>
    </row>
    <row r="48">
      <c r="A48" s="8" t="inlineStr">
        <is>
          <t>000261738</t>
        </is>
      </c>
      <c r="B48" s="8" t="inlineStr">
        <is>
          <t>01/12/2021</t>
        </is>
      </c>
      <c r="C48" s="8" t="n">
        <v>19</v>
      </c>
      <c r="D48" s="9" t="inlineStr">
        <is>
          <t>Youth (&lt;25)</t>
        </is>
      </c>
      <c r="E48" s="9" t="inlineStr">
        <is>
          <t>Australia</t>
        </is>
      </c>
      <c r="F48" s="9" t="inlineStr">
        <is>
          <t>Mountain Bikes</t>
        </is>
      </c>
      <c r="G48" s="9" t="inlineStr">
        <is>
          <t>Mountain-200 Silver, 42</t>
        </is>
      </c>
      <c r="H48" s="10">
        <f>LEFT(G48, 12)</f>
        <v/>
      </c>
      <c r="I48" s="10">
        <f>MID(G48, 14, 6)</f>
        <v/>
      </c>
      <c r="J48" s="10">
        <f>RIGHT(G48, 2)</f>
        <v/>
      </c>
      <c r="K48" s="8" t="n">
        <v>1</v>
      </c>
      <c r="L48" s="11" t="n">
        <v>3533</v>
      </c>
      <c r="M48" s="10">
        <f>CONCAT(A48, ": ", K48, " ", F48, " - ", B48)</f>
        <v/>
      </c>
    </row>
    <row r="49">
      <c r="A49" s="4" t="inlineStr">
        <is>
          <t>000261739</t>
        </is>
      </c>
      <c r="B49" s="4" t="inlineStr">
        <is>
          <t>01/12/2021</t>
        </is>
      </c>
      <c r="C49" s="4" t="n">
        <v>23</v>
      </c>
      <c r="D49" s="5" t="inlineStr">
        <is>
          <t>Youth (&lt;25)</t>
        </is>
      </c>
      <c r="E49" s="5" t="inlineStr">
        <is>
          <t>Australia</t>
        </is>
      </c>
      <c r="F49" s="5" t="inlineStr">
        <is>
          <t>Mountain Bikes</t>
        </is>
      </c>
      <c r="G49" s="5" t="inlineStr">
        <is>
          <t>Mountain-200 Black, 46</t>
        </is>
      </c>
      <c r="H49" s="6">
        <f>LEFT(G49, 12)</f>
        <v/>
      </c>
      <c r="I49" s="6">
        <f>MID(G49, 14, 5)</f>
        <v/>
      </c>
      <c r="J49" s="6">
        <f>RIGHT(G49, 2)</f>
        <v/>
      </c>
      <c r="K49" s="4" t="n">
        <v>4</v>
      </c>
      <c r="L49" s="7" t="n">
        <v>3533</v>
      </c>
      <c r="M49" s="6">
        <f>CONCAT(A49, ": ", K49, " ", F49, " - ", B49)</f>
        <v/>
      </c>
    </row>
    <row r="50">
      <c r="A50" s="8" t="inlineStr">
        <is>
          <t>000261740</t>
        </is>
      </c>
      <c r="B50" s="8" t="inlineStr">
        <is>
          <t>01/12/2021</t>
        </is>
      </c>
      <c r="C50" s="8" t="n">
        <v>30</v>
      </c>
      <c r="D50" s="9" t="inlineStr">
        <is>
          <t>Young Adult (25-34)</t>
        </is>
      </c>
      <c r="E50" s="9" t="inlineStr">
        <is>
          <t>Australia</t>
        </is>
      </c>
      <c r="F50" s="9" t="inlineStr">
        <is>
          <t>Mountain Bikes</t>
        </is>
      </c>
      <c r="G50" s="9" t="inlineStr">
        <is>
          <t>Mountain-200 Silver, 38</t>
        </is>
      </c>
      <c r="H50" s="10">
        <f>LEFT(G50, 12)</f>
        <v/>
      </c>
      <c r="I50" s="10">
        <f>MID(G50, 14, 6)</f>
        <v/>
      </c>
      <c r="J50" s="10">
        <f>RIGHT(G50, 2)</f>
        <v/>
      </c>
      <c r="K50" s="8" t="n">
        <v>1</v>
      </c>
      <c r="L50" s="11" t="n">
        <v>1905</v>
      </c>
      <c r="M50" s="10">
        <f>CONCAT(A50, ": ", K50, " ", F50, " - ", B50)</f>
        <v/>
      </c>
    </row>
    <row r="51">
      <c r="A51" s="4" t="inlineStr">
        <is>
          <t>000261741</t>
        </is>
      </c>
      <c r="B51" s="4" t="inlineStr">
        <is>
          <t>01/12/2021</t>
        </is>
      </c>
      <c r="C51" s="4" t="n">
        <v>45</v>
      </c>
      <c r="D51" s="5" t="inlineStr">
        <is>
          <t>Adult (35-64)</t>
        </is>
      </c>
      <c r="E51" s="5" t="inlineStr">
        <is>
          <t>Australia</t>
        </is>
      </c>
      <c r="F51" s="5" t="inlineStr">
        <is>
          <t>Mountain Bikes</t>
        </is>
      </c>
      <c r="G51" s="5" t="inlineStr">
        <is>
          <t>Mountain-200 Silver, 42</t>
        </is>
      </c>
      <c r="H51" s="6">
        <f>LEFT(G51, 12)</f>
        <v/>
      </c>
      <c r="I51" s="6">
        <f>MID(G51, 14, 6)</f>
        <v/>
      </c>
      <c r="J51" s="6">
        <f>RIGHT(G51, 2)</f>
        <v/>
      </c>
      <c r="K51" s="4" t="n">
        <v>2</v>
      </c>
      <c r="L51" s="7" t="n">
        <v>3120</v>
      </c>
      <c r="M51" s="6">
        <f>CONCAT(A51, ": ", K51, " ", F51, " - ", B51)</f>
        <v/>
      </c>
    </row>
    <row r="52">
      <c r="A52" s="8" t="inlineStr">
        <is>
          <t>000261742</t>
        </is>
      </c>
      <c r="B52" s="8" t="inlineStr">
        <is>
          <t>01/12/2021</t>
        </is>
      </c>
      <c r="C52" s="8" t="n">
        <v>28</v>
      </c>
      <c r="D52" s="9" t="inlineStr">
        <is>
          <t>Young Adult (25-34)</t>
        </is>
      </c>
      <c r="E52" s="9" t="inlineStr">
        <is>
          <t>United States</t>
        </is>
      </c>
      <c r="F52" s="9" t="inlineStr">
        <is>
          <t>Mountain Bikes</t>
        </is>
      </c>
      <c r="G52" s="9" t="inlineStr">
        <is>
          <t>Mountain-200-W Silver, 38</t>
        </is>
      </c>
      <c r="H52" s="10">
        <f>LEFT(G52, 14)</f>
        <v/>
      </c>
      <c r="I52" s="10">
        <f>MID(G52, 16, 6)</f>
        <v/>
      </c>
      <c r="J52" s="10">
        <f>RIGHT(G52, 2)</f>
        <v/>
      </c>
      <c r="K52" s="8" t="n">
        <v>3</v>
      </c>
      <c r="L52" s="11" t="n">
        <v>4335</v>
      </c>
      <c r="M52" s="10">
        <f>CONCAT(A52, ": ", K52, " ", F52, " - ", B52)</f>
        <v/>
      </c>
    </row>
    <row r="53">
      <c r="A53" s="4" t="inlineStr">
        <is>
          <t>000261743</t>
        </is>
      </c>
      <c r="B53" s="4" t="inlineStr">
        <is>
          <t>01/12/2021</t>
        </is>
      </c>
      <c r="C53" s="4" t="n">
        <v>50</v>
      </c>
      <c r="D53" s="5" t="inlineStr">
        <is>
          <t>Adult (35-64)</t>
        </is>
      </c>
      <c r="E53" s="5" t="inlineStr">
        <is>
          <t>United States</t>
        </is>
      </c>
      <c r="F53" s="5" t="inlineStr">
        <is>
          <t>Mountain Bikes</t>
        </is>
      </c>
      <c r="G53" s="5" t="inlineStr">
        <is>
          <t>Mountain-200-W Silver, 40</t>
        </is>
      </c>
      <c r="H53" s="6">
        <f>LEFT(G53, 14)</f>
        <v/>
      </c>
      <c r="I53" s="6">
        <f>MID(G53, 16, 6)</f>
        <v/>
      </c>
      <c r="J53" s="6">
        <f>RIGHT(G53, 2)</f>
        <v/>
      </c>
      <c r="K53" s="4" t="n">
        <v>1</v>
      </c>
      <c r="L53" s="7" t="n">
        <v>1950</v>
      </c>
      <c r="M53" s="6">
        <f>CONCAT(A53, ": ", K53, " ", F53, " - ", B53)</f>
        <v/>
      </c>
    </row>
    <row r="54">
      <c r="A54" s="8" t="inlineStr">
        <is>
          <t>000261744</t>
        </is>
      </c>
      <c r="B54" s="8" t="inlineStr">
        <is>
          <t>01/12/2021</t>
        </is>
      </c>
      <c r="C54" s="8" t="n">
        <v>22</v>
      </c>
      <c r="D54" s="9" t="inlineStr">
        <is>
          <t>Youth (&lt;25)</t>
        </is>
      </c>
      <c r="E54" s="9" t="inlineStr">
        <is>
          <t>Canada</t>
        </is>
      </c>
      <c r="F54" s="9" t="inlineStr">
        <is>
          <t>Road Bikes</t>
        </is>
      </c>
      <c r="G54" s="9" t="inlineStr">
        <is>
          <t>Road-150 Red, 44</t>
        </is>
      </c>
      <c r="H54" s="10">
        <f>LEFT(G54, 12)</f>
        <v/>
      </c>
      <c r="I54" s="10">
        <f>MID(G54, 14, 5)</f>
        <v/>
      </c>
      <c r="J54" s="10">
        <f>RIGHT(G54, 2)</f>
        <v/>
      </c>
      <c r="K54" s="8" t="n">
        <v>2</v>
      </c>
      <c r="L54" s="11" t="n">
        <v>5765</v>
      </c>
      <c r="M54" s="10">
        <f>CONCAT(A54, ": ", K54, " ", F54, " - ", B54)</f>
        <v/>
      </c>
    </row>
    <row r="55">
      <c r="A55" s="4" t="inlineStr">
        <is>
          <t>000261745</t>
        </is>
      </c>
      <c r="B55" s="4" t="inlineStr">
        <is>
          <t>01/12/2021</t>
        </is>
      </c>
      <c r="C55" s="4" t="n">
        <v>33</v>
      </c>
      <c r="D55" s="5" t="inlineStr">
        <is>
          <t>Young Adult (25-34)</t>
        </is>
      </c>
      <c r="E55" s="5" t="inlineStr">
        <is>
          <t>Canada</t>
        </is>
      </c>
      <c r="F55" s="5" t="inlineStr">
        <is>
          <t>Road Bikes</t>
        </is>
      </c>
      <c r="G55" s="5" t="inlineStr">
        <is>
          <t>Road-150 Red, 48</t>
        </is>
      </c>
      <c r="H55" s="6">
        <f>LEFT(G55, 12)</f>
        <v/>
      </c>
      <c r="I55" s="6">
        <f>MID(G55, 14, 5)</f>
        <v/>
      </c>
      <c r="J55" s="6">
        <f>RIGHT(G55, 2)</f>
        <v/>
      </c>
      <c r="K55" s="4" t="n">
        <v>1</v>
      </c>
      <c r="L55" s="7" t="n">
        <v>3280</v>
      </c>
      <c r="M55" s="6">
        <f>CONCAT(A55, ": ", K55, " ", F55, " - ", B55)</f>
        <v/>
      </c>
    </row>
    <row r="56">
      <c r="A56" s="8" t="inlineStr">
        <is>
          <t>000261746</t>
        </is>
      </c>
      <c r="B56" s="8" t="inlineStr">
        <is>
          <t>01/12/2021</t>
        </is>
      </c>
      <c r="C56" s="8" t="n">
        <v>20</v>
      </c>
      <c r="D56" s="9" t="inlineStr">
        <is>
          <t>Youth (&lt;25)</t>
        </is>
      </c>
      <c r="E56" s="9" t="inlineStr">
        <is>
          <t>Australia</t>
        </is>
      </c>
      <c r="F56" s="9" t="inlineStr">
        <is>
          <t>Mountain Bikes</t>
        </is>
      </c>
      <c r="G56" s="9" t="inlineStr">
        <is>
          <t>Mountain-200 Black, 38</t>
        </is>
      </c>
      <c r="H56" s="10">
        <f>LEFT(G56, 12)</f>
        <v/>
      </c>
      <c r="I56" s="10">
        <f>MID(G56, 14, 5)</f>
        <v/>
      </c>
      <c r="J56" s="10">
        <f>RIGHT(G56, 2)</f>
        <v/>
      </c>
      <c r="K56" s="8" t="n">
        <v>5</v>
      </c>
      <c r="L56" s="11" t="n">
        <v>3533</v>
      </c>
      <c r="M56" s="10">
        <f>CONCAT(A56, ": ", K56, " ", F56, " - ", B56)</f>
        <v/>
      </c>
    </row>
    <row r="57">
      <c r="A57" s="4" t="inlineStr">
        <is>
          <t>000261747</t>
        </is>
      </c>
      <c r="B57" s="4" t="inlineStr">
        <is>
          <t>01/12/2021</t>
        </is>
      </c>
      <c r="C57" s="4" t="n">
        <v>38</v>
      </c>
      <c r="D57" s="5" t="inlineStr">
        <is>
          <t>Adult (35-64)</t>
        </is>
      </c>
      <c r="E57" s="5" t="inlineStr">
        <is>
          <t>Germany</t>
        </is>
      </c>
      <c r="F57" s="5" t="inlineStr">
        <is>
          <t>Touring Bikes</t>
        </is>
      </c>
      <c r="G57" s="5" t="inlineStr">
        <is>
          <t>Touring-1000 Blue, 50</t>
        </is>
      </c>
      <c r="H57" s="6">
        <f>LEFT(G57, 12)</f>
        <v/>
      </c>
      <c r="I57" s="6">
        <f>MID(G57, 14, 5)</f>
        <v/>
      </c>
      <c r="J57" s="6">
        <f>RIGHT(G57, 2)</f>
        <v/>
      </c>
      <c r="K57" s="4" t="n">
        <v>1</v>
      </c>
      <c r="L57" s="7" t="n">
        <v>2610</v>
      </c>
      <c r="M57" s="6">
        <f>CONCAT(A57, ": ", K57, " ", F57, " - ", B57)</f>
        <v/>
      </c>
    </row>
    <row r="58">
      <c r="A58" s="8" t="inlineStr">
        <is>
          <t>000261748</t>
        </is>
      </c>
      <c r="B58" s="8" t="inlineStr">
        <is>
          <t>01/12/2021</t>
        </is>
      </c>
      <c r="C58" s="8" t="n">
        <v>29</v>
      </c>
      <c r="D58" s="9" t="inlineStr">
        <is>
          <t>Young Adult (25-34)</t>
        </is>
      </c>
      <c r="E58" s="9" t="inlineStr">
        <is>
          <t>France</t>
        </is>
      </c>
      <c r="F58" s="9" t="inlineStr">
        <is>
          <t>Road Bikes</t>
        </is>
      </c>
      <c r="G58" s="9" t="inlineStr">
        <is>
          <t>Road-650 Black, 52</t>
        </is>
      </c>
      <c r="H58" s="10">
        <f>LEFT(G58, 12)</f>
        <v/>
      </c>
      <c r="I58" s="10">
        <f>MID(G58, 14, 5)</f>
        <v/>
      </c>
      <c r="J58" s="10">
        <f>RIGHT(G58, 2)</f>
        <v/>
      </c>
      <c r="K58" s="8" t="n">
        <v>2</v>
      </c>
      <c r="L58" s="11" t="n">
        <v>3625</v>
      </c>
      <c r="M58" s="10">
        <f>CONCAT(A58, ": ", K58, " ", F58, " - ", B58)</f>
        <v/>
      </c>
    </row>
    <row r="59">
      <c r="A59" s="4" t="inlineStr">
        <is>
          <t>000261749</t>
        </is>
      </c>
      <c r="B59" s="4" t="inlineStr">
        <is>
          <t>01/12/2021</t>
        </is>
      </c>
      <c r="C59" s="4" t="n">
        <v>19</v>
      </c>
      <c r="D59" s="5" t="inlineStr">
        <is>
          <t>Youth (&lt;25)</t>
        </is>
      </c>
      <c r="E59" s="5" t="inlineStr">
        <is>
          <t>Australia</t>
        </is>
      </c>
      <c r="F59" s="5" t="inlineStr">
        <is>
          <t>Mountain Bikes</t>
        </is>
      </c>
      <c r="G59" s="5" t="inlineStr">
        <is>
          <t>Mountain-200 Silver, 42</t>
        </is>
      </c>
      <c r="H59" s="6">
        <f>LEFT(G59, 12)</f>
        <v/>
      </c>
      <c r="I59" s="6">
        <f>MID(G59, 14, 6)</f>
        <v/>
      </c>
      <c r="J59" s="6">
        <f>RIGHT(G59, 2)</f>
        <v/>
      </c>
      <c r="K59" s="4" t="n">
        <v>1</v>
      </c>
      <c r="L59" s="7" t="n">
        <v>3533</v>
      </c>
      <c r="M59" s="6">
        <f>CONCAT(A59, ": ", K59, " ", F59, " - ", B59)</f>
        <v/>
      </c>
    </row>
    <row r="60">
      <c r="A60" s="8" t="inlineStr">
        <is>
          <t>000261750</t>
        </is>
      </c>
      <c r="B60" s="8" t="inlineStr">
        <is>
          <t>01/12/2021</t>
        </is>
      </c>
      <c r="C60" s="8" t="n">
        <v>23</v>
      </c>
      <c r="D60" s="9" t="inlineStr">
        <is>
          <t>Youth (&lt;25)</t>
        </is>
      </c>
      <c r="E60" s="9" t="inlineStr">
        <is>
          <t>Australia</t>
        </is>
      </c>
      <c r="F60" s="9" t="inlineStr">
        <is>
          <t>Mountain Bikes</t>
        </is>
      </c>
      <c r="G60" s="9" t="inlineStr">
        <is>
          <t>Mountain-200 Black, 46</t>
        </is>
      </c>
      <c r="H60" s="10">
        <f>LEFT(G60, 12)</f>
        <v/>
      </c>
      <c r="I60" s="10">
        <f>MID(G60, 14, 5)</f>
        <v/>
      </c>
      <c r="J60" s="10">
        <f>RIGHT(G60, 2)</f>
        <v/>
      </c>
      <c r="K60" s="8" t="n">
        <v>4</v>
      </c>
      <c r="L60" s="11" t="n">
        <v>3533</v>
      </c>
      <c r="M60" s="10">
        <f>CONCAT(A60, ": ", K60, " ", F60, " - ", B60)</f>
        <v/>
      </c>
    </row>
    <row r="61">
      <c r="A61" s="4" t="inlineStr">
        <is>
          <t>000261751</t>
        </is>
      </c>
      <c r="B61" s="4" t="inlineStr">
        <is>
          <t>01/12/2021</t>
        </is>
      </c>
      <c r="C61" s="4" t="n">
        <v>30</v>
      </c>
      <c r="D61" s="5" t="inlineStr">
        <is>
          <t>Young Adult (25-34)</t>
        </is>
      </c>
      <c r="E61" s="5" t="inlineStr">
        <is>
          <t>Australia</t>
        </is>
      </c>
      <c r="F61" s="5" t="inlineStr">
        <is>
          <t>Mountain Bikes</t>
        </is>
      </c>
      <c r="G61" s="5" t="inlineStr">
        <is>
          <t>Mountain-200 Silver, 38</t>
        </is>
      </c>
      <c r="H61" s="6">
        <f>LEFT(G61, 12)</f>
        <v/>
      </c>
      <c r="I61" s="6">
        <f>MID(G61, 14, 6)</f>
        <v/>
      </c>
      <c r="J61" s="6">
        <f>RIGHT(G61, 2)</f>
        <v/>
      </c>
      <c r="K61" s="4" t="n">
        <v>1</v>
      </c>
      <c r="L61" s="7" t="n">
        <v>2070</v>
      </c>
      <c r="M61" s="6">
        <f>CONCAT(A61, ": ", K61, " ", F61, " - ", B61)</f>
        <v/>
      </c>
    </row>
    <row r="62">
      <c r="A62" s="8" t="inlineStr">
        <is>
          <t>000261752</t>
        </is>
      </c>
      <c r="B62" s="8" t="inlineStr">
        <is>
          <t>01/12/2021</t>
        </is>
      </c>
      <c r="C62" s="8" t="n">
        <v>45</v>
      </c>
      <c r="D62" s="9" t="inlineStr">
        <is>
          <t>Adult (35-64)</t>
        </is>
      </c>
      <c r="E62" s="9" t="inlineStr">
        <is>
          <t>Australia</t>
        </is>
      </c>
      <c r="F62" s="9" t="inlineStr">
        <is>
          <t>Mountain Bikes</t>
        </is>
      </c>
      <c r="G62" s="9" t="inlineStr">
        <is>
          <t>Mountain-200 Silver, 42</t>
        </is>
      </c>
      <c r="H62" s="10">
        <f>LEFT(G62, 12)</f>
        <v/>
      </c>
      <c r="I62" s="10">
        <f>MID(G62, 14, 6)</f>
        <v/>
      </c>
      <c r="J62" s="10">
        <f>RIGHT(G62, 2)</f>
        <v/>
      </c>
      <c r="K62" s="8" t="n">
        <v>2</v>
      </c>
      <c r="L62" s="11" t="n">
        <v>3285</v>
      </c>
      <c r="M62" s="10">
        <f>CONCAT(A62, ": ", K62, " ", F62, " - ", B62)</f>
        <v/>
      </c>
    </row>
    <row r="63">
      <c r="A63" s="4" t="inlineStr">
        <is>
          <t>000261753</t>
        </is>
      </c>
      <c r="B63" s="4" t="inlineStr">
        <is>
          <t>01/12/2021</t>
        </is>
      </c>
      <c r="C63" s="4" t="n">
        <v>28</v>
      </c>
      <c r="D63" s="5" t="inlineStr">
        <is>
          <t>Young Adult (25-34)</t>
        </is>
      </c>
      <c r="E63" s="5" t="inlineStr">
        <is>
          <t>United States</t>
        </is>
      </c>
      <c r="F63" s="5" t="inlineStr">
        <is>
          <t>Mountain Bikes</t>
        </is>
      </c>
      <c r="G63" s="5" t="inlineStr">
        <is>
          <t>Mountain-200-W Silver, 38</t>
        </is>
      </c>
      <c r="H63" s="6">
        <f>LEFT(G63, 14)</f>
        <v/>
      </c>
      <c r="I63" s="6">
        <f>MID(G63, 16, 6)</f>
        <v/>
      </c>
      <c r="J63" s="6">
        <f>RIGHT(G63, 2)</f>
        <v/>
      </c>
      <c r="K63" s="4" t="n">
        <v>3</v>
      </c>
      <c r="L63" s="7" t="n">
        <v>4500</v>
      </c>
      <c r="M63" s="6">
        <f>CONCAT(A63, ": ", K63, " ", F63, " - ", B63)</f>
        <v/>
      </c>
    </row>
    <row r="64">
      <c r="A64" s="8" t="inlineStr">
        <is>
          <t>000261754</t>
        </is>
      </c>
      <c r="B64" s="8" t="inlineStr">
        <is>
          <t>01/12/2021</t>
        </is>
      </c>
      <c r="C64" s="8" t="n">
        <v>50</v>
      </c>
      <c r="D64" s="9" t="inlineStr">
        <is>
          <t>Adult (35-64)</t>
        </is>
      </c>
      <c r="E64" s="9" t="inlineStr">
        <is>
          <t>United States</t>
        </is>
      </c>
      <c r="F64" s="9" t="inlineStr">
        <is>
          <t>Mountain Bikes</t>
        </is>
      </c>
      <c r="G64" s="9" t="inlineStr">
        <is>
          <t>Mountain-200-W Silver, 40</t>
        </is>
      </c>
      <c r="H64" s="10">
        <f>LEFT(G64, 14)</f>
        <v/>
      </c>
      <c r="I64" s="10">
        <f>MID(G64, 16, 6)</f>
        <v/>
      </c>
      <c r="J64" s="10">
        <f>RIGHT(G64, 2)</f>
        <v/>
      </c>
      <c r="K64" s="8" t="n">
        <v>1</v>
      </c>
      <c r="L64" s="11" t="n">
        <v>2115</v>
      </c>
      <c r="M64" s="10">
        <f>CONCAT(A64, ": ", K64, " ", F64, " - ", B64)</f>
        <v/>
      </c>
    </row>
    <row r="65">
      <c r="A65" s="4" t="inlineStr">
        <is>
          <t>000261755</t>
        </is>
      </c>
      <c r="B65" s="4" t="inlineStr">
        <is>
          <t>01/12/2021</t>
        </is>
      </c>
      <c r="C65" s="4" t="n">
        <v>22</v>
      </c>
      <c r="D65" s="5" t="inlineStr">
        <is>
          <t>Youth (&lt;25)</t>
        </is>
      </c>
      <c r="E65" s="5" t="inlineStr">
        <is>
          <t>Canada</t>
        </is>
      </c>
      <c r="F65" s="5" t="inlineStr">
        <is>
          <t>Road Bikes</t>
        </is>
      </c>
      <c r="G65" s="5" t="inlineStr">
        <is>
          <t>Road-150 Red, 44</t>
        </is>
      </c>
      <c r="H65" s="6">
        <f>LEFT(G65, 12)</f>
        <v/>
      </c>
      <c r="I65" s="6">
        <f>MID(G65, 14, 5)</f>
        <v/>
      </c>
      <c r="J65" s="6">
        <f>RIGHT(G65, 2)</f>
        <v/>
      </c>
      <c r="K65" s="4" t="n">
        <v>2</v>
      </c>
      <c r="L65" s="7" t="n">
        <v>5930</v>
      </c>
      <c r="M65" s="6">
        <f>CONCAT(A65, ": ", K65, " ", F65, " - ", B65)</f>
        <v/>
      </c>
    </row>
    <row r="66">
      <c r="A66" s="8" t="inlineStr">
        <is>
          <t>000261756</t>
        </is>
      </c>
      <c r="B66" s="8" t="inlineStr">
        <is>
          <t>01/12/2021</t>
        </is>
      </c>
      <c r="C66" s="8" t="n">
        <v>33</v>
      </c>
      <c r="D66" s="9" t="inlineStr">
        <is>
          <t>Young Adult (25-34)</t>
        </is>
      </c>
      <c r="E66" s="9" t="inlineStr">
        <is>
          <t>Canada</t>
        </is>
      </c>
      <c r="F66" s="9" t="inlineStr">
        <is>
          <t>Road Bikes</t>
        </is>
      </c>
      <c r="G66" s="9" t="inlineStr">
        <is>
          <t>Road-150 Red, 48</t>
        </is>
      </c>
      <c r="H66" s="10">
        <f>LEFT(G66, 12)</f>
        <v/>
      </c>
      <c r="I66" s="10">
        <f>MID(G66, 14, 5)</f>
        <v/>
      </c>
      <c r="J66" s="10">
        <f>RIGHT(G66, 2)</f>
        <v/>
      </c>
      <c r="K66" s="8" t="n">
        <v>1</v>
      </c>
      <c r="L66" s="11" t="n">
        <v>3445</v>
      </c>
      <c r="M66" s="10">
        <f>CONCAT(A66, ": ", K66, " ", F66, " - ", B66)</f>
        <v/>
      </c>
    </row>
    <row r="67">
      <c r="A67" s="4" t="inlineStr">
        <is>
          <t>000261757</t>
        </is>
      </c>
      <c r="B67" s="4" t="inlineStr">
        <is>
          <t>01/12/2021</t>
        </is>
      </c>
      <c r="C67" s="4" t="n">
        <v>20</v>
      </c>
      <c r="D67" s="5" t="inlineStr">
        <is>
          <t>Youth (&lt;25)</t>
        </is>
      </c>
      <c r="E67" s="5" t="inlineStr">
        <is>
          <t>Australia</t>
        </is>
      </c>
      <c r="F67" s="5" t="inlineStr">
        <is>
          <t>Mountain Bikes</t>
        </is>
      </c>
      <c r="G67" s="5" t="inlineStr">
        <is>
          <t>Mountain-200 Black, 38</t>
        </is>
      </c>
      <c r="H67" s="6">
        <f>LEFT(G67, 12)</f>
        <v/>
      </c>
      <c r="I67" s="6">
        <f>MID(G67, 14, 5)</f>
        <v/>
      </c>
      <c r="J67" s="6">
        <f>RIGHT(G67, 2)</f>
        <v/>
      </c>
      <c r="K67" s="4" t="n">
        <v>5</v>
      </c>
      <c r="L67" s="7" t="n">
        <v>3533</v>
      </c>
      <c r="M67" s="6">
        <f>CONCAT(A67, ": ", K67, " ", F67, " - ", B67)</f>
        <v/>
      </c>
    </row>
    <row r="68">
      <c r="A68" s="8" t="inlineStr">
        <is>
          <t>000261758</t>
        </is>
      </c>
      <c r="B68" s="8" t="inlineStr">
        <is>
          <t>01/12/2021</t>
        </is>
      </c>
      <c r="C68" s="8" t="n">
        <v>38</v>
      </c>
      <c r="D68" s="9" t="inlineStr">
        <is>
          <t>Adult (35-64)</t>
        </is>
      </c>
      <c r="E68" s="9" t="inlineStr">
        <is>
          <t>Germany</t>
        </is>
      </c>
      <c r="F68" s="9" t="inlineStr">
        <is>
          <t>Touring Bikes</t>
        </is>
      </c>
      <c r="G68" s="9" t="inlineStr">
        <is>
          <t>Touring-1000 Blue, 50</t>
        </is>
      </c>
      <c r="H68" s="10">
        <f>LEFT(G68, 12)</f>
        <v/>
      </c>
      <c r="I68" s="10">
        <f>MID(G68, 14, 5)</f>
        <v/>
      </c>
      <c r="J68" s="10">
        <f>RIGHT(G68, 2)</f>
        <v/>
      </c>
      <c r="K68" s="8" t="n">
        <v>1</v>
      </c>
      <c r="L68" s="11" t="n">
        <v>2775</v>
      </c>
      <c r="M68" s="10">
        <f>CONCAT(A68, ": ", K68, " ", F68, " - ", B68)</f>
        <v/>
      </c>
    </row>
    <row r="69">
      <c r="A69" s="4" t="inlineStr">
        <is>
          <t>000261759</t>
        </is>
      </c>
      <c r="B69" s="4" t="inlineStr">
        <is>
          <t>01/12/2021</t>
        </is>
      </c>
      <c r="C69" s="4" t="n">
        <v>29</v>
      </c>
      <c r="D69" s="5" t="inlineStr">
        <is>
          <t>Young Adult (25-34)</t>
        </is>
      </c>
      <c r="E69" s="5" t="inlineStr">
        <is>
          <t>France</t>
        </is>
      </c>
      <c r="F69" s="5" t="inlineStr">
        <is>
          <t>Road Bikes</t>
        </is>
      </c>
      <c r="G69" s="5" t="inlineStr">
        <is>
          <t>Road-650 Black, 52</t>
        </is>
      </c>
      <c r="H69" s="6">
        <f>LEFT(G69, 12)</f>
        <v/>
      </c>
      <c r="I69" s="6">
        <f>MID(G69, 14, 5)</f>
        <v/>
      </c>
      <c r="J69" s="6">
        <f>RIGHT(G69, 2)</f>
        <v/>
      </c>
      <c r="K69" s="4" t="n">
        <v>2</v>
      </c>
      <c r="L69" s="7" t="n">
        <v>3790</v>
      </c>
      <c r="M69" s="6">
        <f>CONCAT(A69, ": ", K69, " ", F69, " - ", B69)</f>
        <v/>
      </c>
    </row>
    <row r="70">
      <c r="A70" s="8" t="inlineStr">
        <is>
          <t>000261760</t>
        </is>
      </c>
      <c r="B70" s="8" t="inlineStr">
        <is>
          <t>01/12/2021</t>
        </is>
      </c>
      <c r="C70" s="8" t="n">
        <v>19</v>
      </c>
      <c r="D70" s="9" t="inlineStr">
        <is>
          <t>Youth (&lt;25)</t>
        </is>
      </c>
      <c r="E70" s="9" t="inlineStr">
        <is>
          <t>Australia</t>
        </is>
      </c>
      <c r="F70" s="9" t="inlineStr">
        <is>
          <t>Mountain Bikes</t>
        </is>
      </c>
      <c r="G70" s="9" t="inlineStr">
        <is>
          <t>Mountain-200 Silver, 42</t>
        </is>
      </c>
      <c r="H70" s="10">
        <f>LEFT(G70, 12)</f>
        <v/>
      </c>
      <c r="I70" s="10">
        <f>MID(G70, 14, 6)</f>
        <v/>
      </c>
      <c r="J70" s="10">
        <f>RIGHT(G70, 2)</f>
        <v/>
      </c>
      <c r="K70" s="8" t="n">
        <v>1</v>
      </c>
      <c r="L70" s="11" t="n">
        <v>3533</v>
      </c>
      <c r="M70" s="10">
        <f>CONCAT(A70, ": ", K70, " ", F70, " - ", B70)</f>
        <v/>
      </c>
    </row>
    <row r="71">
      <c r="A71" s="4" t="inlineStr">
        <is>
          <t>000261761</t>
        </is>
      </c>
      <c r="B71" s="4" t="inlineStr">
        <is>
          <t>01/12/2021</t>
        </is>
      </c>
      <c r="C71" s="4" t="n">
        <v>23</v>
      </c>
      <c r="D71" s="5" t="inlineStr">
        <is>
          <t>Youth (&lt;25)</t>
        </is>
      </c>
      <c r="E71" s="5" t="inlineStr">
        <is>
          <t>Australia</t>
        </is>
      </c>
      <c r="F71" s="5" t="inlineStr">
        <is>
          <t>Mountain Bikes</t>
        </is>
      </c>
      <c r="G71" s="5" t="inlineStr">
        <is>
          <t>Mountain-200 Black, 46</t>
        </is>
      </c>
      <c r="H71" s="6">
        <f>LEFT(G71, 12)</f>
        <v/>
      </c>
      <c r="I71" s="6">
        <f>MID(G71, 14, 5)</f>
        <v/>
      </c>
      <c r="J71" s="6">
        <f>RIGHT(G71, 2)</f>
        <v/>
      </c>
      <c r="K71" s="4" t="n">
        <v>4</v>
      </c>
      <c r="L71" s="7" t="n">
        <v>3533</v>
      </c>
      <c r="M71" s="6">
        <f>CONCAT(A71, ": ", K71, " ", F71, " - ", B71)</f>
        <v/>
      </c>
    </row>
    <row r="72">
      <c r="A72" s="8" t="inlineStr">
        <is>
          <t>000261762</t>
        </is>
      </c>
      <c r="B72" s="8" t="inlineStr">
        <is>
          <t>01/12/2021</t>
        </is>
      </c>
      <c r="C72" s="8" t="n">
        <v>30</v>
      </c>
      <c r="D72" s="9" t="inlineStr">
        <is>
          <t>Young Adult (25-34)</t>
        </is>
      </c>
      <c r="E72" s="9" t="inlineStr">
        <is>
          <t>Australia</t>
        </is>
      </c>
      <c r="F72" s="9" t="inlineStr">
        <is>
          <t>Mountain Bikes</t>
        </is>
      </c>
      <c r="G72" s="9" t="inlineStr">
        <is>
          <t>Mountain-200 Silver, 38</t>
        </is>
      </c>
      <c r="H72" s="10">
        <f>LEFT(G72, 12)</f>
        <v/>
      </c>
      <c r="I72" s="10">
        <f>MID(G72, 14, 6)</f>
        <v/>
      </c>
      <c r="J72" s="10">
        <f>RIGHT(G72, 2)</f>
        <v/>
      </c>
      <c r="K72" s="8" t="n">
        <v>1</v>
      </c>
      <c r="L72" s="11" t="n">
        <v>2235</v>
      </c>
      <c r="M72" s="10">
        <f>CONCAT(A72, ": ", K72, " ", F72, " - ", B72)</f>
        <v/>
      </c>
    </row>
    <row r="73">
      <c r="A73" s="4" t="inlineStr">
        <is>
          <t>000261763</t>
        </is>
      </c>
      <c r="B73" s="4" t="inlineStr">
        <is>
          <t>01/12/2021</t>
        </is>
      </c>
      <c r="C73" s="4" t="n">
        <v>45</v>
      </c>
      <c r="D73" s="5" t="inlineStr">
        <is>
          <t>Adult (35-64)</t>
        </is>
      </c>
      <c r="E73" s="5" t="inlineStr">
        <is>
          <t>Australia</t>
        </is>
      </c>
      <c r="F73" s="5" t="inlineStr">
        <is>
          <t>Mountain Bikes</t>
        </is>
      </c>
      <c r="G73" s="5" t="inlineStr">
        <is>
          <t>Mountain-200 Silver, 42</t>
        </is>
      </c>
      <c r="H73" s="6">
        <f>LEFT(G73, 12)</f>
        <v/>
      </c>
      <c r="I73" s="6">
        <f>MID(G73, 14, 6)</f>
        <v/>
      </c>
      <c r="J73" s="6">
        <f>RIGHT(G73, 2)</f>
        <v/>
      </c>
      <c r="K73" s="4" t="n">
        <v>2</v>
      </c>
      <c r="L73" s="7" t="n">
        <v>3450</v>
      </c>
      <c r="M73" s="6">
        <f>CONCAT(A73, ": ", K73, " ", F73, " - ", B73)</f>
        <v/>
      </c>
    </row>
    <row r="74">
      <c r="A74" s="8" t="inlineStr">
        <is>
          <t>000261764</t>
        </is>
      </c>
      <c r="B74" s="8" t="inlineStr">
        <is>
          <t>01/12/2021</t>
        </is>
      </c>
      <c r="C74" s="8" t="n">
        <v>28</v>
      </c>
      <c r="D74" s="9" t="inlineStr">
        <is>
          <t>Young Adult (25-34)</t>
        </is>
      </c>
      <c r="E74" s="9" t="inlineStr">
        <is>
          <t>United States</t>
        </is>
      </c>
      <c r="F74" s="9" t="inlineStr">
        <is>
          <t>Mountain Bikes</t>
        </is>
      </c>
      <c r="G74" s="9" t="inlineStr">
        <is>
          <t>Mountain-200-W Silver, 38</t>
        </is>
      </c>
      <c r="H74" s="10">
        <f>LEFT(G74, 14)</f>
        <v/>
      </c>
      <c r="I74" s="10">
        <f>MID(G74, 16, 6)</f>
        <v/>
      </c>
      <c r="J74" s="10">
        <f>RIGHT(G74, 2)</f>
        <v/>
      </c>
      <c r="K74" s="8" t="n">
        <v>3</v>
      </c>
      <c r="L74" s="11" t="n">
        <v>4665</v>
      </c>
      <c r="M74" s="10">
        <f>CONCAT(A74, ": ", K74, " ", F74, " - ", B74)</f>
        <v/>
      </c>
    </row>
    <row r="75">
      <c r="A75" s="4" t="inlineStr">
        <is>
          <t>000261765</t>
        </is>
      </c>
      <c r="B75" s="4" t="inlineStr">
        <is>
          <t>01/12/2021</t>
        </is>
      </c>
      <c r="C75" s="4" t="n">
        <v>50</v>
      </c>
      <c r="D75" s="5" t="inlineStr">
        <is>
          <t>Adult (35-64)</t>
        </is>
      </c>
      <c r="E75" s="5" t="inlineStr">
        <is>
          <t>United States</t>
        </is>
      </c>
      <c r="F75" s="5" t="inlineStr">
        <is>
          <t>Mountain Bikes</t>
        </is>
      </c>
      <c r="G75" s="5" t="inlineStr">
        <is>
          <t>Mountain-200-W Silver, 40</t>
        </is>
      </c>
      <c r="H75" s="6">
        <f>LEFT(G75, 14)</f>
        <v/>
      </c>
      <c r="I75" s="6">
        <f>MID(G75, 16, 6)</f>
        <v/>
      </c>
      <c r="J75" s="6">
        <f>RIGHT(G75, 2)</f>
        <v/>
      </c>
      <c r="K75" s="4" t="n">
        <v>1</v>
      </c>
      <c r="L75" s="7" t="n">
        <v>2280</v>
      </c>
      <c r="M75" s="6">
        <f>CONCAT(A75, ": ", K75, " ", F75, " - ", B75)</f>
        <v/>
      </c>
    </row>
    <row r="76">
      <c r="A76" s="8" t="inlineStr">
        <is>
          <t>000261766</t>
        </is>
      </c>
      <c r="B76" s="8" t="inlineStr">
        <is>
          <t>01/12/2021</t>
        </is>
      </c>
      <c r="C76" s="8" t="n">
        <v>22</v>
      </c>
      <c r="D76" s="9" t="inlineStr">
        <is>
          <t>Youth (&lt;25)</t>
        </is>
      </c>
      <c r="E76" s="9" t="inlineStr">
        <is>
          <t>Canada</t>
        </is>
      </c>
      <c r="F76" s="9" t="inlineStr">
        <is>
          <t>Road Bikes</t>
        </is>
      </c>
      <c r="G76" s="9" t="inlineStr">
        <is>
          <t>Road-150 Red, 44</t>
        </is>
      </c>
      <c r="H76" s="10">
        <f>LEFT(G76, 12)</f>
        <v/>
      </c>
      <c r="I76" s="10">
        <f>MID(G76, 14, 5)</f>
        <v/>
      </c>
      <c r="J76" s="10">
        <f>RIGHT(G76, 2)</f>
        <v/>
      </c>
      <c r="K76" s="8" t="n">
        <v>2</v>
      </c>
      <c r="L76" s="11" t="n">
        <v>6095</v>
      </c>
      <c r="M76" s="10">
        <f>CONCAT(A76, ": ", K76, " ", F76, " - ", B76)</f>
        <v/>
      </c>
    </row>
    <row r="77">
      <c r="A77" s="4" t="inlineStr">
        <is>
          <t>000261767</t>
        </is>
      </c>
      <c r="B77" s="4" t="inlineStr">
        <is>
          <t>01/12/2021</t>
        </is>
      </c>
      <c r="C77" s="4" t="n">
        <v>33</v>
      </c>
      <c r="D77" s="5" t="inlineStr">
        <is>
          <t>Young Adult (25-34)</t>
        </is>
      </c>
      <c r="E77" s="5" t="inlineStr">
        <is>
          <t>Canada</t>
        </is>
      </c>
      <c r="F77" s="5" t="inlineStr">
        <is>
          <t>Road Bikes</t>
        </is>
      </c>
      <c r="G77" s="5" t="inlineStr">
        <is>
          <t>Road-150 Red, 48</t>
        </is>
      </c>
      <c r="H77" s="6">
        <f>LEFT(G77, 12)</f>
        <v/>
      </c>
      <c r="I77" s="6">
        <f>MID(G77, 14, 5)</f>
        <v/>
      </c>
      <c r="J77" s="6">
        <f>RIGHT(G77, 2)</f>
        <v/>
      </c>
      <c r="K77" s="4" t="n">
        <v>1</v>
      </c>
      <c r="L77" s="7" t="n">
        <v>3610</v>
      </c>
      <c r="M77" s="6">
        <f>CONCAT(A77, ": ", K77, " ", F77, " - ", B77)</f>
        <v/>
      </c>
    </row>
    <row r="78">
      <c r="A78" s="8" t="inlineStr">
        <is>
          <t>000261768</t>
        </is>
      </c>
      <c r="B78" s="8" t="inlineStr">
        <is>
          <t>01/12/2021</t>
        </is>
      </c>
      <c r="C78" s="8" t="n">
        <v>20</v>
      </c>
      <c r="D78" s="9" t="inlineStr">
        <is>
          <t>Youth (&lt;25)</t>
        </is>
      </c>
      <c r="E78" s="9" t="inlineStr">
        <is>
          <t>Australia</t>
        </is>
      </c>
      <c r="F78" s="9" t="inlineStr">
        <is>
          <t>Mountain Bikes</t>
        </is>
      </c>
      <c r="G78" s="9" t="inlineStr">
        <is>
          <t>Mountain-200 Black, 38</t>
        </is>
      </c>
      <c r="H78" s="10">
        <f>LEFT(G78, 12)</f>
        <v/>
      </c>
      <c r="I78" s="10">
        <f>MID(G78, 14, 5)</f>
        <v/>
      </c>
      <c r="J78" s="10">
        <f>RIGHT(G78, 2)</f>
        <v/>
      </c>
      <c r="K78" s="8" t="n">
        <v>5</v>
      </c>
      <c r="L78" s="11" t="n">
        <v>3533</v>
      </c>
      <c r="M78" s="10">
        <f>CONCAT(A78, ": ", K78, " ", F78, " - ", B78)</f>
        <v/>
      </c>
    </row>
    <row r="79">
      <c r="A79" s="4" t="inlineStr">
        <is>
          <t>000261769</t>
        </is>
      </c>
      <c r="B79" s="4" t="inlineStr">
        <is>
          <t>01/12/2021</t>
        </is>
      </c>
      <c r="C79" s="4" t="n">
        <v>38</v>
      </c>
      <c r="D79" s="5" t="inlineStr">
        <is>
          <t>Adult (35-64)</t>
        </is>
      </c>
      <c r="E79" s="5" t="inlineStr">
        <is>
          <t>Germany</t>
        </is>
      </c>
      <c r="F79" s="5" t="inlineStr">
        <is>
          <t>Touring Bikes</t>
        </is>
      </c>
      <c r="G79" s="5" t="inlineStr">
        <is>
          <t>Touring-1000 Blue, 50</t>
        </is>
      </c>
      <c r="H79" s="6">
        <f>LEFT(G79, 12)</f>
        <v/>
      </c>
      <c r="I79" s="6">
        <f>MID(G79, 14, 5)</f>
        <v/>
      </c>
      <c r="J79" s="6">
        <f>RIGHT(G79, 2)</f>
        <v/>
      </c>
      <c r="K79" s="4" t="n">
        <v>1</v>
      </c>
      <c r="L79" s="7" t="n">
        <v>2940</v>
      </c>
      <c r="M79" s="6">
        <f>CONCAT(A79, ": ", K79, " ", F79, " - ", B79)</f>
        <v/>
      </c>
    </row>
    <row r="80">
      <c r="A80" s="8" t="inlineStr">
        <is>
          <t>000261770</t>
        </is>
      </c>
      <c r="B80" s="8" t="inlineStr">
        <is>
          <t>01/12/2021</t>
        </is>
      </c>
      <c r="C80" s="8" t="n">
        <v>29</v>
      </c>
      <c r="D80" s="9" t="inlineStr">
        <is>
          <t>Young Adult (25-34)</t>
        </is>
      </c>
      <c r="E80" s="9" t="inlineStr">
        <is>
          <t>France</t>
        </is>
      </c>
      <c r="F80" s="9" t="inlineStr">
        <is>
          <t>Road Bikes</t>
        </is>
      </c>
      <c r="G80" s="9" t="inlineStr">
        <is>
          <t>Road-650 Black, 52</t>
        </is>
      </c>
      <c r="H80" s="10">
        <f>LEFT(G80, 12)</f>
        <v/>
      </c>
      <c r="I80" s="10">
        <f>MID(G80, 14, 5)</f>
        <v/>
      </c>
      <c r="J80" s="10">
        <f>RIGHT(G80, 2)</f>
        <v/>
      </c>
      <c r="K80" s="8" t="n">
        <v>2</v>
      </c>
      <c r="L80" s="11" t="n">
        <v>3955</v>
      </c>
      <c r="M80" s="10">
        <f>CONCAT(A80, ": ", K80, " ", F80, " - ", B80)</f>
        <v/>
      </c>
    </row>
    <row r="81">
      <c r="A81" s="4" t="inlineStr">
        <is>
          <t>000261771</t>
        </is>
      </c>
      <c r="B81" s="4" t="inlineStr">
        <is>
          <t>01/12/2021</t>
        </is>
      </c>
      <c r="C81" s="4" t="n">
        <v>19</v>
      </c>
      <c r="D81" s="5" t="inlineStr">
        <is>
          <t>Youth (&lt;25)</t>
        </is>
      </c>
      <c r="E81" s="5" t="inlineStr">
        <is>
          <t>Australia</t>
        </is>
      </c>
      <c r="F81" s="5" t="inlineStr">
        <is>
          <t>Mountain Bikes</t>
        </is>
      </c>
      <c r="G81" s="5" t="inlineStr">
        <is>
          <t>Mountain-200 Silver, 42</t>
        </is>
      </c>
      <c r="H81" s="6">
        <f>LEFT(G81, 12)</f>
        <v/>
      </c>
      <c r="I81" s="6">
        <f>MID(G81, 14, 6)</f>
        <v/>
      </c>
      <c r="J81" s="6">
        <f>RIGHT(G81, 2)</f>
        <v/>
      </c>
      <c r="K81" s="4" t="n">
        <v>1</v>
      </c>
      <c r="L81" s="7" t="n">
        <v>3533</v>
      </c>
      <c r="M81" s="6">
        <f>CONCAT(A81, ": ", K81, " ", F81, " - ", B81)</f>
        <v/>
      </c>
    </row>
    <row r="82">
      <c r="A82" s="8" t="inlineStr">
        <is>
          <t>000261772</t>
        </is>
      </c>
      <c r="B82" s="8" t="inlineStr">
        <is>
          <t>01/12/2021</t>
        </is>
      </c>
      <c r="C82" s="8" t="n">
        <v>23</v>
      </c>
      <c r="D82" s="9" t="inlineStr">
        <is>
          <t>Youth (&lt;25)</t>
        </is>
      </c>
      <c r="E82" s="9" t="inlineStr">
        <is>
          <t>Australia</t>
        </is>
      </c>
      <c r="F82" s="9" t="inlineStr">
        <is>
          <t>Mountain Bikes</t>
        </is>
      </c>
      <c r="G82" s="9" t="inlineStr">
        <is>
          <t>Mountain-200 Black, 46</t>
        </is>
      </c>
      <c r="H82" s="10">
        <f>LEFT(G82, 12)</f>
        <v/>
      </c>
      <c r="I82" s="10">
        <f>MID(G82, 14, 5)</f>
        <v/>
      </c>
      <c r="J82" s="10">
        <f>RIGHT(G82, 2)</f>
        <v/>
      </c>
      <c r="K82" s="8" t="n">
        <v>4</v>
      </c>
      <c r="L82" s="11" t="n">
        <v>3533</v>
      </c>
      <c r="M82" s="10">
        <f>CONCAT(A82, ": ", K82, " ", F82, " - ", B82)</f>
        <v/>
      </c>
    </row>
    <row r="83">
      <c r="A83" s="4" t="inlineStr">
        <is>
          <t>000261773</t>
        </is>
      </c>
      <c r="B83" s="4" t="inlineStr">
        <is>
          <t>01/12/2021</t>
        </is>
      </c>
      <c r="C83" s="4" t="n">
        <v>30</v>
      </c>
      <c r="D83" s="5" t="inlineStr">
        <is>
          <t>Young Adult (25-34)</t>
        </is>
      </c>
      <c r="E83" s="5" t="inlineStr">
        <is>
          <t>Australia</t>
        </is>
      </c>
      <c r="F83" s="5" t="inlineStr">
        <is>
          <t>Mountain Bikes</t>
        </is>
      </c>
      <c r="G83" s="5" t="inlineStr">
        <is>
          <t>Mountain-200 Silver, 38</t>
        </is>
      </c>
      <c r="H83" s="6">
        <f>LEFT(G83, 12)</f>
        <v/>
      </c>
      <c r="I83" s="6">
        <f>MID(G83, 14, 6)</f>
        <v/>
      </c>
      <c r="J83" s="6">
        <f>RIGHT(G83, 2)</f>
        <v/>
      </c>
      <c r="K83" s="4" t="n">
        <v>1</v>
      </c>
      <c r="L83" s="7" t="n">
        <v>2400</v>
      </c>
      <c r="M83" s="6">
        <f>CONCAT(A83, ": ", K83, " ", F83, " - ", B83)</f>
        <v/>
      </c>
    </row>
    <row r="84">
      <c r="A84" s="8" t="inlineStr">
        <is>
          <t>000261774</t>
        </is>
      </c>
      <c r="B84" s="8" t="inlineStr">
        <is>
          <t>01/12/2021</t>
        </is>
      </c>
      <c r="C84" s="8" t="n">
        <v>45</v>
      </c>
      <c r="D84" s="9" t="inlineStr">
        <is>
          <t>Adult (35-64)</t>
        </is>
      </c>
      <c r="E84" s="9" t="inlineStr">
        <is>
          <t>Australia</t>
        </is>
      </c>
      <c r="F84" s="9" t="inlineStr">
        <is>
          <t>Mountain Bikes</t>
        </is>
      </c>
      <c r="G84" s="9" t="inlineStr">
        <is>
          <t>Mountain-200 Silver, 42</t>
        </is>
      </c>
      <c r="H84" s="10">
        <f>LEFT(G84, 12)</f>
        <v/>
      </c>
      <c r="I84" s="10">
        <f>MID(G84, 14, 6)</f>
        <v/>
      </c>
      <c r="J84" s="10">
        <f>RIGHT(G84, 2)</f>
        <v/>
      </c>
      <c r="K84" s="8" t="n">
        <v>2</v>
      </c>
      <c r="L84" s="11" t="n">
        <v>3615</v>
      </c>
      <c r="M84" s="10">
        <f>CONCAT(A84, ": ", K84, " ", F84, " - ", B84)</f>
        <v/>
      </c>
    </row>
    <row r="85">
      <c r="A85" s="4" t="inlineStr">
        <is>
          <t>000261775</t>
        </is>
      </c>
      <c r="B85" s="4" t="inlineStr">
        <is>
          <t>01/12/2021</t>
        </is>
      </c>
      <c r="C85" s="4" t="n">
        <v>28</v>
      </c>
      <c r="D85" s="5" t="inlineStr">
        <is>
          <t>Young Adult (25-34)</t>
        </is>
      </c>
      <c r="E85" s="5" t="inlineStr">
        <is>
          <t>United States</t>
        </is>
      </c>
      <c r="F85" s="5" t="inlineStr">
        <is>
          <t>Mountain Bikes</t>
        </is>
      </c>
      <c r="G85" s="5" t="inlineStr">
        <is>
          <t>Mountain-200-W Silver, 38</t>
        </is>
      </c>
      <c r="H85" s="6">
        <f>LEFT(G85, 14)</f>
        <v/>
      </c>
      <c r="I85" s="6">
        <f>MID(G85, 16, 6)</f>
        <v/>
      </c>
      <c r="J85" s="6">
        <f>RIGHT(G85, 2)</f>
        <v/>
      </c>
      <c r="K85" s="4" t="n">
        <v>3</v>
      </c>
      <c r="L85" s="7" t="n">
        <v>4830</v>
      </c>
      <c r="M85" s="6">
        <f>CONCAT(A85, ": ", K85, " ", F85, " - ", B85)</f>
        <v/>
      </c>
    </row>
    <row r="86">
      <c r="A86" s="8" t="inlineStr">
        <is>
          <t>000261776</t>
        </is>
      </c>
      <c r="B86" s="8" t="inlineStr">
        <is>
          <t>01/12/2021</t>
        </is>
      </c>
      <c r="C86" s="8" t="n">
        <v>50</v>
      </c>
      <c r="D86" s="9" t="inlineStr">
        <is>
          <t>Adult (35-64)</t>
        </is>
      </c>
      <c r="E86" s="9" t="inlineStr">
        <is>
          <t>United States</t>
        </is>
      </c>
      <c r="F86" s="9" t="inlineStr">
        <is>
          <t>Mountain Bikes</t>
        </is>
      </c>
      <c r="G86" s="9" t="inlineStr">
        <is>
          <t>Mountain-200-W Silver, 40</t>
        </is>
      </c>
      <c r="H86" s="10">
        <f>LEFT(G86, 14)</f>
        <v/>
      </c>
      <c r="I86" s="10">
        <f>MID(G86, 16, 6)</f>
        <v/>
      </c>
      <c r="J86" s="10">
        <f>RIGHT(G86, 2)</f>
        <v/>
      </c>
      <c r="K86" s="8" t="n">
        <v>1</v>
      </c>
      <c r="L86" s="11" t="n">
        <v>2445</v>
      </c>
      <c r="M86" s="10">
        <f>CONCAT(A86, ": ", K86, " ", F86, " - ", B86)</f>
        <v/>
      </c>
    </row>
    <row r="87">
      <c r="A87" s="4" t="inlineStr">
        <is>
          <t>000261777</t>
        </is>
      </c>
      <c r="B87" s="4" t="inlineStr">
        <is>
          <t>01/12/2021</t>
        </is>
      </c>
      <c r="C87" s="4" t="n">
        <v>22</v>
      </c>
      <c r="D87" s="5" t="inlineStr">
        <is>
          <t>Youth (&lt;25)</t>
        </is>
      </c>
      <c r="E87" s="5" t="inlineStr">
        <is>
          <t>Canada</t>
        </is>
      </c>
      <c r="F87" s="5" t="inlineStr">
        <is>
          <t>Road Bikes</t>
        </is>
      </c>
      <c r="G87" s="5" t="inlineStr">
        <is>
          <t>Road-150 Red, 44</t>
        </is>
      </c>
      <c r="H87" s="6">
        <f>LEFT(G87, 12)</f>
        <v/>
      </c>
      <c r="I87" s="6">
        <f>MID(G87, 14, 5)</f>
        <v/>
      </c>
      <c r="J87" s="6">
        <f>RIGHT(G87, 2)</f>
        <v/>
      </c>
      <c r="K87" s="4" t="n">
        <v>2</v>
      </c>
      <c r="L87" s="7" t="n">
        <v>6260</v>
      </c>
      <c r="M87" s="6">
        <f>CONCAT(A87, ": ", K87, " ", F87, " - ", B87)</f>
        <v/>
      </c>
    </row>
    <row r="88">
      <c r="A88" s="8" t="inlineStr">
        <is>
          <t>000261778</t>
        </is>
      </c>
      <c r="B88" s="8" t="inlineStr">
        <is>
          <t>01/12/2021</t>
        </is>
      </c>
      <c r="C88" s="8" t="n">
        <v>33</v>
      </c>
      <c r="D88" s="9" t="inlineStr">
        <is>
          <t>Young Adult (25-34)</t>
        </is>
      </c>
      <c r="E88" s="9" t="inlineStr">
        <is>
          <t>Canada</t>
        </is>
      </c>
      <c r="F88" s="9" t="inlineStr">
        <is>
          <t>Road Bikes</t>
        </is>
      </c>
      <c r="G88" s="9" t="inlineStr">
        <is>
          <t>Road-150 Red, 48</t>
        </is>
      </c>
      <c r="H88" s="10">
        <f>LEFT(G88, 12)</f>
        <v/>
      </c>
      <c r="I88" s="10">
        <f>MID(G88, 14, 5)</f>
        <v/>
      </c>
      <c r="J88" s="10">
        <f>RIGHT(G88, 2)</f>
        <v/>
      </c>
      <c r="K88" s="8" t="n">
        <v>1</v>
      </c>
      <c r="L88" s="11" t="n">
        <v>3775</v>
      </c>
      <c r="M88" s="10">
        <f>CONCAT(A88, ": ", K88, " ", F88, " - ", B88)</f>
        <v/>
      </c>
    </row>
    <row r="89">
      <c r="A89" s="4" t="inlineStr">
        <is>
          <t>000261779</t>
        </is>
      </c>
      <c r="B89" s="4" t="inlineStr">
        <is>
          <t>01/12/2021</t>
        </is>
      </c>
      <c r="C89" s="4" t="n">
        <v>20</v>
      </c>
      <c r="D89" s="5" t="inlineStr">
        <is>
          <t>Youth (&lt;25)</t>
        </is>
      </c>
      <c r="E89" s="5" t="inlineStr">
        <is>
          <t>Australia</t>
        </is>
      </c>
      <c r="F89" s="5" t="inlineStr">
        <is>
          <t>Mountain Bikes</t>
        </is>
      </c>
      <c r="G89" s="5" t="inlineStr">
        <is>
          <t>Mountain-200 Black, 38</t>
        </is>
      </c>
      <c r="H89" s="6">
        <f>LEFT(G89, 12)</f>
        <v/>
      </c>
      <c r="I89" s="6">
        <f>MID(G89, 14, 5)</f>
        <v/>
      </c>
      <c r="J89" s="6">
        <f>RIGHT(G89, 2)</f>
        <v/>
      </c>
      <c r="K89" s="4" t="n">
        <v>5</v>
      </c>
      <c r="L89" s="7" t="n">
        <v>3533</v>
      </c>
      <c r="M89" s="6">
        <f>CONCAT(A89, ": ", K89, " ", F89, " - ", B89)</f>
        <v/>
      </c>
    </row>
    <row r="90">
      <c r="A90" s="8" t="inlineStr">
        <is>
          <t>000261780</t>
        </is>
      </c>
      <c r="B90" s="8" t="inlineStr">
        <is>
          <t>01/12/2021</t>
        </is>
      </c>
      <c r="C90" s="8" t="n">
        <v>38</v>
      </c>
      <c r="D90" s="9" t="inlineStr">
        <is>
          <t>Adult (35-64)</t>
        </is>
      </c>
      <c r="E90" s="9" t="inlineStr">
        <is>
          <t>Germany</t>
        </is>
      </c>
      <c r="F90" s="9" t="inlineStr">
        <is>
          <t>Touring Bikes</t>
        </is>
      </c>
      <c r="G90" s="9" t="inlineStr">
        <is>
          <t>Touring-1000 Blue, 50</t>
        </is>
      </c>
      <c r="H90" s="10">
        <f>LEFT(G90, 12)</f>
        <v/>
      </c>
      <c r="I90" s="10">
        <f>MID(G90, 14, 5)</f>
        <v/>
      </c>
      <c r="J90" s="10">
        <f>RIGHT(G90, 2)</f>
        <v/>
      </c>
      <c r="K90" s="8" t="n">
        <v>1</v>
      </c>
      <c r="L90" s="11" t="n">
        <v>3105</v>
      </c>
      <c r="M90" s="10">
        <f>CONCAT(A90, ": ", K90, " ", F90, " - ", B90)</f>
        <v/>
      </c>
    </row>
    <row r="91">
      <c r="A91" s="4" t="inlineStr">
        <is>
          <t>000261781</t>
        </is>
      </c>
      <c r="B91" s="4" t="inlineStr">
        <is>
          <t>01/12/2021</t>
        </is>
      </c>
      <c r="C91" s="4" t="n">
        <v>29</v>
      </c>
      <c r="D91" s="5" t="inlineStr">
        <is>
          <t>Young Adult (25-34)</t>
        </is>
      </c>
      <c r="E91" s="5" t="inlineStr">
        <is>
          <t>France</t>
        </is>
      </c>
      <c r="F91" s="5" t="inlineStr">
        <is>
          <t>Road Bikes</t>
        </is>
      </c>
      <c r="G91" s="5" t="inlineStr">
        <is>
          <t>Road-650 Black, 52</t>
        </is>
      </c>
      <c r="H91" s="6">
        <f>LEFT(G91, 12)</f>
        <v/>
      </c>
      <c r="I91" s="6">
        <f>MID(G91, 14, 5)</f>
        <v/>
      </c>
      <c r="J91" s="6">
        <f>RIGHT(G91, 2)</f>
        <v/>
      </c>
      <c r="K91" s="4" t="n">
        <v>2</v>
      </c>
      <c r="L91" s="7" t="n">
        <v>4120</v>
      </c>
      <c r="M91" s="6">
        <f>CONCAT(A91, ": ", K91, " ", F91, " - ", B91)</f>
        <v/>
      </c>
    </row>
    <row r="92">
      <c r="A92" s="8" t="inlineStr">
        <is>
          <t>000261782</t>
        </is>
      </c>
      <c r="B92" s="8" t="inlineStr">
        <is>
          <t>01/12/2021</t>
        </is>
      </c>
      <c r="C92" s="8" t="n">
        <v>19</v>
      </c>
      <c r="D92" s="9" t="inlineStr">
        <is>
          <t>Youth (&lt;25)</t>
        </is>
      </c>
      <c r="E92" s="9" t="inlineStr">
        <is>
          <t>Australia</t>
        </is>
      </c>
      <c r="F92" s="9" t="inlineStr">
        <is>
          <t>Mountain Bikes</t>
        </is>
      </c>
      <c r="G92" s="9" t="inlineStr">
        <is>
          <t>Mountain-200 Silver, 42</t>
        </is>
      </c>
      <c r="H92" s="10">
        <f>LEFT(G92, 12)</f>
        <v/>
      </c>
      <c r="I92" s="10">
        <f>MID(G92, 14, 6)</f>
        <v/>
      </c>
      <c r="J92" s="10">
        <f>RIGHT(G92, 2)</f>
        <v/>
      </c>
      <c r="K92" s="8" t="n">
        <v>1</v>
      </c>
      <c r="L92" s="11" t="n">
        <v>3533</v>
      </c>
      <c r="M92" s="10">
        <f>CONCAT(A92, ": ", K92, " ", F92, " - ", B92)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85" customWidth="1" min="3" max="3"/>
    <col width="62" customWidth="1" min="4" max="4"/>
  </cols>
  <sheetData>
    <row r="1">
      <c r="A1" s="1" t="inlineStr">
        <is>
          <t>Resultados de Funciones Estadísticas (Parte 2) y Preguntas Resueltas</t>
        </is>
      </c>
    </row>
    <row r="2">
      <c r="A2" s="2" t="inlineStr">
        <is>
          <t>Cálculos automáticos con fórmulas enlazadas a 'Datos_Resueltos'</t>
        </is>
      </c>
    </row>
    <row r="3"/>
    <row r="4">
      <c r="A4" s="3" t="inlineStr">
        <is>
          <t>Paso / Sección</t>
        </is>
      </c>
      <c r="B4" s="3" t="inlineStr">
        <is>
          <t>Criterio / Pregunta Evaluada</t>
        </is>
      </c>
      <c r="C4" s="3" t="inlineStr">
        <is>
          <t>Fórmula Aplicada en Excel</t>
        </is>
      </c>
      <c r="D4" s="3" t="inlineStr">
        <is>
          <t>Resultado Calculado</t>
        </is>
      </c>
    </row>
    <row r="5">
      <c r="A5" s="5" t="inlineStr">
        <is>
          <t>Parte 1 (Pregunta de Reflexión)</t>
        </is>
      </c>
      <c r="B5" s="5" t="inlineStr">
        <is>
          <t>¿Qué sucede si se omite la función TEXTO en CONCAT?</t>
        </is>
      </c>
      <c r="C5" s="12">
        <f>CONCAT(A5, ": ", K5, " ", F5, " - ", B5)</f>
        <v/>
      </c>
      <c r="D5" s="13" t="inlineStr">
        <is>
          <t>Muestra la fecha como un número entero ordinal (ej. 44197)</t>
        </is>
      </c>
    </row>
    <row r="6">
      <c r="A6" s="9" t="inlineStr">
        <is>
          <t>Paso 1: CONTAR (COUNT)</t>
        </is>
      </c>
      <c r="B6" s="9" t="inlineStr">
        <is>
          <t>Cantidad_Pedido (Validación de celdas numéricas)</t>
        </is>
      </c>
      <c r="C6" s="14">
        <f>COUNT(Datos_Resueltos!K5:K92)</f>
        <v/>
      </c>
      <c r="D6" s="15" t="n">
        <v>88</v>
      </c>
    </row>
    <row r="7">
      <c r="A7" s="5" t="inlineStr">
        <is>
          <t>Paso 2: CONTARA (COUNTA)</t>
        </is>
      </c>
      <c r="B7" s="5" t="inlineStr">
        <is>
          <t>Cantidad_Pedido (Conteo de celdas no vacías)</t>
        </is>
      </c>
      <c r="C7" s="12">
        <f>COUNTA(Datos_Resueltos!K5:K92)</f>
        <v/>
      </c>
      <c r="D7" s="13" t="n">
        <v>88</v>
      </c>
    </row>
    <row r="8">
      <c r="A8" s="9" t="inlineStr">
        <is>
          <t>Paso 3: CONTAR.BLANCO (COUNTBLANK)</t>
        </is>
      </c>
      <c r="B8" s="9" t="inlineStr">
        <is>
          <t>Cantidad_Pedido (Detección de celdas en blanco)</t>
        </is>
      </c>
      <c r="C8" s="14">
        <f>COUNTBLANK(Datos_Resueltos!K5:K92)</f>
        <v/>
      </c>
      <c r="D8" s="15" t="n">
        <v>0</v>
      </c>
    </row>
    <row r="9">
      <c r="A9" s="5" t="inlineStr">
        <is>
          <t>Paso 4: CONTAR.SI (COUNTIF)</t>
        </is>
      </c>
      <c r="B9" s="5" t="inlineStr">
        <is>
          <t>Sales_Order # (Verificación de duplicados)</t>
        </is>
      </c>
      <c r="C9" s="12">
        <f>COUNTIF(Datos_Resueltos!A$5:A5, Datos_Resueltos!A5)</f>
        <v/>
      </c>
      <c r="D9" s="13" t="n">
        <v>1</v>
      </c>
    </row>
    <row r="10">
      <c r="A10" s="9" t="inlineStr">
        <is>
          <t>Paso 5: PROMEDIO.SI (AVERAGEIF)</t>
        </is>
      </c>
      <c r="B10" s="9" t="inlineStr">
        <is>
          <t>Ingresos Promedio: Youth (&lt;25)</t>
        </is>
      </c>
      <c r="C10" s="14">
        <f>AVERAGEIF(Datos_Resueltos!D5:D92, "Youth (&lt;25)", Datos_Resueltos!L5:L92)</f>
        <v/>
      </c>
      <c r="D10" s="16" t="n">
        <v>3533</v>
      </c>
    </row>
    <row r="11">
      <c r="A11" s="5" t="inlineStr">
        <is>
          <t>Paso 5: PROMEDIO.SI (AVERAGEIF)</t>
        </is>
      </c>
      <c r="B11" s="5" t="inlineStr">
        <is>
          <t>Ingresos Promedio: Young Adult (25-34)</t>
        </is>
      </c>
      <c r="C11" s="12">
        <f>AVERAGEIF(Datos_Resueltos!D5:D92, "Young Adult (25-34)", Datos_Resueltos!L5:L92)</f>
        <v/>
      </c>
      <c r="D11" s="17" t="n">
        <v>2480</v>
      </c>
    </row>
    <row r="12">
      <c r="A12" s="9" t="inlineStr">
        <is>
          <t>Paso 5: PROMEDIO.SI (AVERAGEIF)</t>
        </is>
      </c>
      <c r="B12" s="9" t="inlineStr">
        <is>
          <t>Ingresos Promedio: Adult (35-64)</t>
        </is>
      </c>
      <c r="C12" s="14">
        <f>AVERAGEIF(Datos_Resueltos!D5:D92, "Adult (35-64)", Datos_Resueltos!L5:L92)</f>
        <v/>
      </c>
      <c r="D12" s="16" t="n">
        <v>2100</v>
      </c>
    </row>
    <row r="13">
      <c r="A13" s="5" t="inlineStr">
        <is>
          <t>Paso 6: MIN.SI.CONJUNTO (MINIFS)</t>
        </is>
      </c>
      <c r="B13" s="5" t="inlineStr">
        <is>
          <t>Ingresos Mínimos de Australia</t>
        </is>
      </c>
      <c r="C13" s="12">
        <f>MINIFS(Datos_Resueltos!L5:L92, Datos_Resueltos!E5:E92, "Australia")</f>
        <v/>
      </c>
      <c r="D13" s="17" t="n">
        <v>565</v>
      </c>
    </row>
    <row r="14">
      <c r="A14" s="9" t="inlineStr">
        <is>
          <t>Paso 6: MAX.SI.CONJUNTO (MAXIFS)</t>
        </is>
      </c>
      <c r="B14" s="9" t="inlineStr">
        <is>
          <t>Ingresos Máximos de Australia</t>
        </is>
      </c>
      <c r="C14" s="14">
        <f>MAXIFS(Datos_Resueltos!L5:L92, Datos_Resueltos!E5:E92, "Australia")</f>
        <v/>
      </c>
      <c r="D14" s="16" t="n">
        <v>13500</v>
      </c>
    </row>
    <row r="15">
      <c r="A15" s="5" t="inlineStr">
        <is>
          <t>Pregunta Final: SUMAR.SI (SUMIF)</t>
        </is>
      </c>
      <c r="B15" s="5" t="inlineStr">
        <is>
          <t>Suma de Ingresos Totales de Australia</t>
        </is>
      </c>
      <c r="C15" s="12">
        <f>SUMIF(Datos_Resueltos!E5:E92, "Australia", Datos_Resueltos!L5:L92)</f>
        <v/>
      </c>
      <c r="D15" s="17" t="n">
        <v>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2026-10-19T19:00:47Z</dcterms:created>
  <dcterms:modified xmlns:dcterms="http://purl.org/dc/terms/" xmlns:xsi="http://www.w3.org/2001/XMLSchema-instance" xsi:type="dcterms:W3CDTF">2026-10-19T19:00:47Z</dcterms:modified>
</cp:coreProperties>
</file>